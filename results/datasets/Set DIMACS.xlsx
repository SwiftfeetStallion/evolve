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phaEvolve\evolve\results\all\"/>
    </mc:Choice>
  </mc:AlternateContent>
  <xr:revisionPtr revIDLastSave="0" documentId="13_ncr:1_{176E7F89-410F-44A3-9213-11E3BA7CD173}" xr6:coauthVersionLast="47" xr6:coauthVersionMax="47" xr10:uidLastSave="{00000000-0000-0000-0000-000000000000}"/>
  <bookViews>
    <workbookView xWindow="-108" yWindow="-108" windowWidth="23256" windowHeight="12576" xr2:uid="{DFD4C897-C258-4B6F-8367-9B4EA6E92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I4" i="1"/>
  <c r="I5" i="1"/>
  <c r="I6" i="1"/>
  <c r="I7" i="1"/>
  <c r="I8" i="1"/>
  <c r="I9" i="1"/>
  <c r="I10" i="1"/>
  <c r="I11" i="1"/>
  <c r="I12" i="1"/>
  <c r="I13" i="1"/>
  <c r="I14" i="1"/>
  <c r="G4" i="1"/>
  <c r="G5" i="1"/>
  <c r="G6" i="1"/>
  <c r="G7" i="1"/>
  <c r="G8" i="1"/>
  <c r="G9" i="1"/>
  <c r="G10" i="1"/>
  <c r="G11" i="1"/>
  <c r="G12" i="1"/>
  <c r="G13" i="1"/>
  <c r="G14" i="1"/>
  <c r="E4" i="1"/>
  <c r="E5" i="1"/>
  <c r="E6" i="1"/>
  <c r="E7" i="1"/>
  <c r="E8" i="1"/>
  <c r="E9" i="1"/>
  <c r="E10" i="1"/>
  <c r="E11" i="1"/>
  <c r="E12" i="1"/>
  <c r="E13" i="1"/>
  <c r="E14" i="1"/>
  <c r="E3" i="1"/>
  <c r="I3" i="1"/>
  <c r="G3" i="1"/>
  <c r="C3" i="1"/>
</calcChain>
</file>

<file path=xl/sharedStrings.xml><?xml version="1.0" encoding="utf-8"?>
<sst xmlns="http://schemas.openxmlformats.org/spreadsheetml/2006/main" count="26" uniqueCount="20">
  <si>
    <t>Instance</t>
  </si>
  <si>
    <t>CW</t>
  </si>
  <si>
    <t>OR</t>
  </si>
  <si>
    <t>AILS-II</t>
  </si>
  <si>
    <t>HGS</t>
  </si>
  <si>
    <t>BKS</t>
  </si>
  <si>
    <t>Avg</t>
  </si>
  <si>
    <t>Gap</t>
  </si>
  <si>
    <t>Loggi-n1001-k31</t>
  </si>
  <si>
    <t>Loggi-n401-k23</t>
  </si>
  <si>
    <t>Loggi-n501-k24</t>
  </si>
  <si>
    <t>Loggi-n601-k19</t>
  </si>
  <si>
    <t>Loggi-n601-k42</t>
  </si>
  <si>
    <t>Loggi-n901-k42</t>
  </si>
  <si>
    <t>ORTEC-n242-k12</t>
  </si>
  <si>
    <t>ORTEC-n323-k21</t>
  </si>
  <si>
    <t>ORTEC-n405-k18</t>
  </si>
  <si>
    <t>ORTEC-n455-k41</t>
  </si>
  <si>
    <t>ORTEC-n510-k23</t>
  </si>
  <si>
    <t>ORTEC-n701-k64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</si>
</sst>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C8AE-BDDA-43AC-9462-8A6C877CA6AA}">
  <dimension ref="A1:J14"/>
  <sheetViews>
    <sheetView tabSelected="1" workbookViewId="0">
      <selection activeCell="N16" sqref="N16"/>
    </sheetView>
  </sheetViews>
  <sheetFormatPr defaultRowHeight="14.4" x14ac:dyDescent="0.3"/>
  <cols>
    <col min="1" max="1" width="14.88671875" bestFit="1" customWidth="1"/>
    <col min="4" max="4" width="10" bestFit="1" customWidth="1"/>
  </cols>
  <sheetData>
    <row r="1" spans="1:10" x14ac:dyDescent="0.3">
      <c r="A1" s="10" t="s">
        <v>0</v>
      </c>
      <c r="B1" s="12" t="s">
        <v>1</v>
      </c>
      <c r="C1" s="12"/>
      <c r="D1" s="12" t="s">
        <v>2</v>
      </c>
      <c r="E1" s="12"/>
      <c r="F1" s="12" t="s">
        <v>3</v>
      </c>
      <c r="G1" s="12"/>
      <c r="H1" s="12" t="s">
        <v>4</v>
      </c>
      <c r="I1" s="12"/>
      <c r="J1" s="8" t="s">
        <v>5</v>
      </c>
    </row>
    <row r="2" spans="1:10" x14ac:dyDescent="0.3">
      <c r="A2" s="11"/>
      <c r="B2" s="2" t="s">
        <v>6</v>
      </c>
      <c r="C2" s="2" t="s">
        <v>7</v>
      </c>
      <c r="D2" s="2" t="s">
        <v>6</v>
      </c>
      <c r="E2" s="2" t="s">
        <v>7</v>
      </c>
      <c r="F2" s="2" t="s">
        <v>6</v>
      </c>
      <c r="G2" s="2" t="s">
        <v>7</v>
      </c>
      <c r="H2" s="2" t="s">
        <v>6</v>
      </c>
      <c r="I2" s="2" t="s">
        <v>7</v>
      </c>
      <c r="J2" s="9"/>
    </row>
    <row r="3" spans="1:10" x14ac:dyDescent="0.3">
      <c r="A3" s="4" t="s">
        <v>8</v>
      </c>
      <c r="B3" s="5">
        <v>305126</v>
      </c>
      <c r="C3" s="5">
        <f>ROUND(MAX(0, (B3-J3)/J3*100), 2)</f>
        <v>7.3</v>
      </c>
      <c r="D3" s="5">
        <v>313630</v>
      </c>
      <c r="E3" s="5">
        <f>ROUND(MAX(0, (D3-J3)/J3*100), 2)</f>
        <v>10.29</v>
      </c>
      <c r="F3" s="5">
        <v>285545</v>
      </c>
      <c r="G3" s="5">
        <f>ROUND(MAX(0, (F3-J3)/J3*100), 2)</f>
        <v>0.42</v>
      </c>
      <c r="H3" s="5">
        <v>308493</v>
      </c>
      <c r="I3" s="5">
        <f>ROUND(MAX(0, (H3-J3)/J3*100), 2)</f>
        <v>8.49</v>
      </c>
      <c r="J3" s="6">
        <v>284356</v>
      </c>
    </row>
    <row r="4" spans="1:10" x14ac:dyDescent="0.3">
      <c r="A4" s="4" t="s">
        <v>9</v>
      </c>
      <c r="B4" s="5">
        <v>347191</v>
      </c>
      <c r="C4" s="5">
        <f t="shared" ref="C4:C14" si="0">ROUND(MAX(0, (B4-J4)/J4*100), 2)</f>
        <v>3.05</v>
      </c>
      <c r="D4" s="5">
        <v>351025</v>
      </c>
      <c r="E4" s="5">
        <f t="shared" ref="E4:E14" si="1">ROUND(MAX(0, (D4-J4)/J4*100), 2)</f>
        <v>4.1900000000000004</v>
      </c>
      <c r="F4" s="5">
        <v>337195</v>
      </c>
      <c r="G4" s="5">
        <f t="shared" ref="G4:G14" si="2">ROUND(MAX(0, (F4-J4)/J4*100), 2)</f>
        <v>0.09</v>
      </c>
      <c r="H4" s="5">
        <v>344725</v>
      </c>
      <c r="I4" s="5">
        <f t="shared" ref="I4:I14" si="3">ROUND(MAX(0, (H4-J4)/J4*100), 2)</f>
        <v>2.3199999999999998</v>
      </c>
      <c r="J4" s="6">
        <v>336903</v>
      </c>
    </row>
    <row r="5" spans="1:10" x14ac:dyDescent="0.3">
      <c r="A5" s="4" t="s">
        <v>10</v>
      </c>
      <c r="B5" s="5">
        <v>187038</v>
      </c>
      <c r="C5" s="5">
        <f t="shared" si="0"/>
        <v>5.57</v>
      </c>
      <c r="D5" s="5">
        <v>187363</v>
      </c>
      <c r="E5" s="5">
        <f t="shared" si="1"/>
        <v>5.75</v>
      </c>
      <c r="F5" s="5">
        <v>177533</v>
      </c>
      <c r="G5" s="5">
        <f t="shared" si="2"/>
        <v>0.2</v>
      </c>
      <c r="H5" s="5">
        <v>181591</v>
      </c>
      <c r="I5" s="5">
        <f t="shared" si="3"/>
        <v>2.4900000000000002</v>
      </c>
      <c r="J5" s="6">
        <v>177176</v>
      </c>
    </row>
    <row r="6" spans="1:10" x14ac:dyDescent="0.3">
      <c r="A6" s="4" t="s">
        <v>11</v>
      </c>
      <c r="B6" s="5">
        <v>121108</v>
      </c>
      <c r="C6" s="5">
        <f t="shared" si="0"/>
        <v>7.03</v>
      </c>
      <c r="D6" s="5">
        <v>120753</v>
      </c>
      <c r="E6" s="5">
        <f t="shared" si="1"/>
        <v>6.71</v>
      </c>
      <c r="F6" s="5">
        <v>113240</v>
      </c>
      <c r="G6" s="5">
        <f t="shared" si="2"/>
        <v>0.08</v>
      </c>
      <c r="H6" s="5">
        <v>115613</v>
      </c>
      <c r="I6" s="5">
        <f t="shared" si="3"/>
        <v>2.17</v>
      </c>
      <c r="J6" s="6">
        <v>113155</v>
      </c>
    </row>
    <row r="7" spans="1:10" x14ac:dyDescent="0.3">
      <c r="A7" s="4" t="s">
        <v>12</v>
      </c>
      <c r="B7" s="5">
        <v>362485</v>
      </c>
      <c r="C7" s="5">
        <f t="shared" si="0"/>
        <v>4.45</v>
      </c>
      <c r="D7" s="5">
        <v>367537</v>
      </c>
      <c r="E7" s="5">
        <f t="shared" si="1"/>
        <v>5.9</v>
      </c>
      <c r="F7" s="5">
        <v>347059</v>
      </c>
      <c r="G7" s="5">
        <f t="shared" si="2"/>
        <v>0</v>
      </c>
      <c r="H7" s="5">
        <v>353229</v>
      </c>
      <c r="I7" s="5">
        <f t="shared" si="3"/>
        <v>1.78</v>
      </c>
      <c r="J7" s="6">
        <v>347046</v>
      </c>
    </row>
    <row r="8" spans="1:10" x14ac:dyDescent="0.3">
      <c r="A8" s="4" t="s">
        <v>13</v>
      </c>
      <c r="B8" s="7">
        <v>259690</v>
      </c>
      <c r="C8" s="5">
        <f t="shared" si="0"/>
        <v>5.44</v>
      </c>
      <c r="D8" s="5">
        <v>270072</v>
      </c>
      <c r="E8" s="5">
        <f t="shared" si="1"/>
        <v>9.65</v>
      </c>
      <c r="F8" s="5">
        <v>246599</v>
      </c>
      <c r="G8" s="5">
        <f t="shared" si="2"/>
        <v>0.12</v>
      </c>
      <c r="H8" s="5">
        <v>274316</v>
      </c>
      <c r="I8" s="5">
        <f t="shared" si="3"/>
        <v>11.37</v>
      </c>
      <c r="J8" s="6">
        <v>246301</v>
      </c>
    </row>
    <row r="9" spans="1:10" x14ac:dyDescent="0.3">
      <c r="A9" s="4" t="s">
        <v>14</v>
      </c>
      <c r="B9" s="7">
        <v>132295</v>
      </c>
      <c r="C9" s="5">
        <f t="shared" si="0"/>
        <v>6.91</v>
      </c>
      <c r="D9" s="5">
        <v>128715</v>
      </c>
      <c r="E9" s="5">
        <f t="shared" si="1"/>
        <v>4.01</v>
      </c>
      <c r="F9" s="5">
        <v>123922</v>
      </c>
      <c r="G9" s="5">
        <f t="shared" si="2"/>
        <v>0.14000000000000001</v>
      </c>
      <c r="H9" s="5">
        <v>126618</v>
      </c>
      <c r="I9" s="5">
        <f t="shared" si="3"/>
        <v>2.3199999999999998</v>
      </c>
      <c r="J9" s="6">
        <v>123750</v>
      </c>
    </row>
    <row r="10" spans="1:10" x14ac:dyDescent="0.3">
      <c r="A10" s="4" t="s">
        <v>15</v>
      </c>
      <c r="B10" s="7">
        <v>230035</v>
      </c>
      <c r="C10" s="5">
        <f t="shared" si="0"/>
        <v>7.46</v>
      </c>
      <c r="D10" s="5">
        <v>231903</v>
      </c>
      <c r="E10" s="5">
        <f t="shared" si="1"/>
        <v>8.33</v>
      </c>
      <c r="F10" s="5">
        <v>214125</v>
      </c>
      <c r="G10" s="5">
        <f t="shared" si="2"/>
        <v>0.03</v>
      </c>
      <c r="H10" s="5">
        <v>221266</v>
      </c>
      <c r="I10" s="5">
        <f t="shared" si="3"/>
        <v>3.36</v>
      </c>
      <c r="J10" s="6">
        <v>214071</v>
      </c>
    </row>
    <row r="11" spans="1:10" x14ac:dyDescent="0.3">
      <c r="A11" s="4" t="s">
        <v>16</v>
      </c>
      <c r="B11" s="7">
        <v>212494</v>
      </c>
      <c r="C11" s="5">
        <f t="shared" si="0"/>
        <v>5.73</v>
      </c>
      <c r="D11" s="5">
        <v>206260</v>
      </c>
      <c r="E11" s="5">
        <f t="shared" si="1"/>
        <v>2.62</v>
      </c>
      <c r="F11" s="5">
        <v>201039</v>
      </c>
      <c r="G11" s="5">
        <f t="shared" si="2"/>
        <v>0.03</v>
      </c>
      <c r="H11" s="5">
        <v>205360</v>
      </c>
      <c r="I11" s="5">
        <f t="shared" si="3"/>
        <v>2.1800000000000002</v>
      </c>
      <c r="J11" s="6">
        <v>200986</v>
      </c>
    </row>
    <row r="12" spans="1:10" x14ac:dyDescent="0.3">
      <c r="A12" s="4" t="s">
        <v>17</v>
      </c>
      <c r="B12" s="7">
        <v>303245</v>
      </c>
      <c r="C12" s="5">
        <f t="shared" si="0"/>
        <v>3.68</v>
      </c>
      <c r="D12" s="7">
        <v>100000000</v>
      </c>
      <c r="E12" s="5">
        <f t="shared" si="1"/>
        <v>34089.79</v>
      </c>
      <c r="F12" s="7">
        <v>293046</v>
      </c>
      <c r="G12" s="5">
        <f t="shared" si="2"/>
        <v>0.19</v>
      </c>
      <c r="H12" s="5">
        <v>306270</v>
      </c>
      <c r="I12" s="5">
        <f t="shared" si="3"/>
        <v>4.71</v>
      </c>
      <c r="J12" s="6">
        <v>292485</v>
      </c>
    </row>
    <row r="13" spans="1:10" x14ac:dyDescent="0.3">
      <c r="A13" s="4" t="s">
        <v>18</v>
      </c>
      <c r="B13" s="5">
        <v>191865</v>
      </c>
      <c r="C13" s="5">
        <f t="shared" si="0"/>
        <v>3.98</v>
      </c>
      <c r="D13" s="5">
        <v>190803</v>
      </c>
      <c r="E13" s="5">
        <f t="shared" si="1"/>
        <v>3.4</v>
      </c>
      <c r="F13" s="5">
        <v>184673</v>
      </c>
      <c r="G13" s="5">
        <f t="shared" si="2"/>
        <v>0.08</v>
      </c>
      <c r="H13" s="5">
        <v>190031</v>
      </c>
      <c r="I13" s="5">
        <f t="shared" si="3"/>
        <v>2.98</v>
      </c>
      <c r="J13" s="6">
        <v>184529</v>
      </c>
    </row>
    <row r="14" spans="1:10" x14ac:dyDescent="0.3">
      <c r="A14" s="1" t="s">
        <v>19</v>
      </c>
      <c r="B14" s="13">
        <v>467516</v>
      </c>
      <c r="C14" s="2">
        <f t="shared" si="0"/>
        <v>4.93</v>
      </c>
      <c r="D14" s="2">
        <v>466254</v>
      </c>
      <c r="E14" s="2">
        <f t="shared" si="1"/>
        <v>4.6500000000000004</v>
      </c>
      <c r="F14" s="2">
        <v>445669</v>
      </c>
      <c r="G14" s="2">
        <f t="shared" si="2"/>
        <v>0.03</v>
      </c>
      <c r="H14" s="2">
        <v>462786</v>
      </c>
      <c r="I14" s="2">
        <f t="shared" si="3"/>
        <v>3.87</v>
      </c>
      <c r="J14" s="3">
        <v>445541</v>
      </c>
    </row>
  </sheetData>
  <mergeCells count="6">
    <mergeCell ref="J1:J2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*</dc:creator>
  <cp:lastModifiedBy>Полина *</cp:lastModifiedBy>
  <dcterms:created xsi:type="dcterms:W3CDTF">2026-09-10T07:34:44Z</dcterms:created>
  <dcterms:modified xsi:type="dcterms:W3CDTF">2026-09-27T09:51:12Z</dcterms:modified>
</cp:coreProperties>
</file>