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phaEvolve\evolve\results\all\"/>
    </mc:Choice>
  </mc:AlternateContent>
  <xr:revisionPtr revIDLastSave="0" documentId="13_ncr:1_{7201BA43-1BAC-44DE-8551-D884002AD067}" xr6:coauthVersionLast="47" xr6:coauthVersionMax="47" xr10:uidLastSave="{00000000-0000-0000-0000-000000000000}"/>
  <bookViews>
    <workbookView xWindow="-108" yWindow="-108" windowWidth="23256" windowHeight="12576" xr2:uid="{DB007832-A438-471B-8E94-5D6E32AA3B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</calcChain>
</file>

<file path=xl/sharedStrings.xml><?xml version="1.0" encoding="utf-8"?>
<sst xmlns="http://schemas.openxmlformats.org/spreadsheetml/2006/main" count="41" uniqueCount="33">
  <si>
    <t>Instance</t>
  </si>
  <si>
    <t>CW</t>
  </si>
  <si>
    <t>Avg</t>
  </si>
  <si>
    <t>Gap</t>
  </si>
  <si>
    <t>OR</t>
  </si>
  <si>
    <t>AILS-II</t>
  </si>
  <si>
    <t>KGLS</t>
  </si>
  <si>
    <t>HGS</t>
  </si>
  <si>
    <t>P-n101-k4</t>
  </si>
  <si>
    <t>P-n16-k8</t>
  </si>
  <si>
    <t>P-n19-k2</t>
  </si>
  <si>
    <t>P-n20-k2</t>
  </si>
  <si>
    <t>P-n21-k2</t>
  </si>
  <si>
    <t>P-n22-k2</t>
  </si>
  <si>
    <t>P-n22-k8</t>
  </si>
  <si>
    <t>P-n23-k8</t>
  </si>
  <si>
    <t>P-n40-k5</t>
  </si>
  <si>
    <t>P-n45-k5</t>
  </si>
  <si>
    <t>P-n50-k10</t>
  </si>
  <si>
    <t>P-n50-k7</t>
  </si>
  <si>
    <t>P-n50-k8</t>
  </si>
  <si>
    <t>P-n51-k10</t>
  </si>
  <si>
    <t>P-n55-k10</t>
  </si>
  <si>
    <t>P-n55-k15</t>
  </si>
  <si>
    <t>P-n55-k7</t>
  </si>
  <si>
    <t>P-n55-k8</t>
  </si>
  <si>
    <t>P-n60-k10</t>
  </si>
  <si>
    <t>P-n60-k15</t>
  </si>
  <si>
    <t>P-n65-k10</t>
  </si>
  <si>
    <t>P-n70-k10</t>
  </si>
  <si>
    <t>P-n76-k4</t>
  </si>
  <si>
    <t>P-n76-k5</t>
  </si>
  <si>
    <t>BKS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</si>
</sst>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9F27-A690-4C30-883F-B8073A7FE140}">
  <dimension ref="A1:O26"/>
  <sheetViews>
    <sheetView tabSelected="1" topLeftCell="A11" workbookViewId="0">
      <selection activeCell="H18" sqref="H18"/>
    </sheetView>
  </sheetViews>
  <sheetFormatPr defaultRowHeight="14.4" x14ac:dyDescent="0.3"/>
  <cols>
    <col min="4" max="4" width="10.109375" bestFit="1" customWidth="1"/>
    <col min="5" max="5" width="11" bestFit="1" customWidth="1"/>
    <col min="10" max="10" width="8.88671875" customWidth="1"/>
  </cols>
  <sheetData>
    <row r="1" spans="1:15" x14ac:dyDescent="0.3">
      <c r="A1" s="9" t="s">
        <v>0</v>
      </c>
      <c r="B1" s="11" t="s">
        <v>1</v>
      </c>
      <c r="C1" s="11"/>
      <c r="D1" s="11" t="s">
        <v>4</v>
      </c>
      <c r="E1" s="11"/>
      <c r="F1" s="11" t="s">
        <v>5</v>
      </c>
      <c r="G1" s="11"/>
      <c r="H1" s="11" t="s">
        <v>6</v>
      </c>
      <c r="I1" s="11"/>
      <c r="J1" s="11" t="s">
        <v>7</v>
      </c>
      <c r="K1" s="11"/>
      <c r="L1" s="12" t="s">
        <v>32</v>
      </c>
    </row>
    <row r="2" spans="1:15" x14ac:dyDescent="0.3">
      <c r="A2" s="10"/>
      <c r="B2" s="6" t="s">
        <v>2</v>
      </c>
      <c r="C2" s="6" t="s">
        <v>3</v>
      </c>
      <c r="D2" s="6" t="s">
        <v>2</v>
      </c>
      <c r="E2" s="6" t="s">
        <v>3</v>
      </c>
      <c r="F2" s="6" t="s">
        <v>2</v>
      </c>
      <c r="G2" s="6" t="s">
        <v>3</v>
      </c>
      <c r="H2" s="6" t="s">
        <v>2</v>
      </c>
      <c r="I2" s="6" t="s">
        <v>3</v>
      </c>
      <c r="J2" s="6" t="s">
        <v>2</v>
      </c>
      <c r="K2" s="6" t="s">
        <v>3</v>
      </c>
      <c r="L2" s="13"/>
    </row>
    <row r="3" spans="1:15" x14ac:dyDescent="0.3">
      <c r="A3" s="2" t="s">
        <v>8</v>
      </c>
      <c r="B3" s="1">
        <v>739</v>
      </c>
      <c r="C3" s="1">
        <f>ROUND(MAX(0, (B3-L3)/L3*100), 2)</f>
        <v>8.52</v>
      </c>
      <c r="D3" s="1">
        <v>684</v>
      </c>
      <c r="E3" s="1">
        <f>ROUND(MAX(0, (D3-L3)/L3*100), 2)</f>
        <v>0.44</v>
      </c>
      <c r="F3" s="1">
        <v>681</v>
      </c>
      <c r="G3" s="1">
        <f>ROUND(MAX(0, (F3-L3)/L3*100), 2)</f>
        <v>0</v>
      </c>
      <c r="H3" s="1">
        <v>681</v>
      </c>
      <c r="I3" s="1">
        <f>ROUND(MAX(0, (H3-L3)/L3*100), 2)</f>
        <v>0</v>
      </c>
      <c r="J3" s="1">
        <v>681</v>
      </c>
      <c r="K3" s="1">
        <f>ROUND(MAX(0, (J3-L3)/L3*100), 2)</f>
        <v>0</v>
      </c>
      <c r="L3" s="3">
        <v>681</v>
      </c>
    </row>
    <row r="4" spans="1:15" x14ac:dyDescent="0.3">
      <c r="A4" s="2" t="s">
        <v>9</v>
      </c>
      <c r="B4" s="4">
        <v>478</v>
      </c>
      <c r="C4" s="1">
        <f t="shared" ref="C4:C26" si="0">ROUND(MAX(0, (B4-L4)/L4*100), 2)</f>
        <v>6.22</v>
      </c>
      <c r="D4" s="1">
        <v>450</v>
      </c>
      <c r="E4" s="1">
        <f t="shared" ref="E4:E26" si="1">ROUND(MAX(0, (D4-L4)/L4*100), 2)</f>
        <v>0</v>
      </c>
      <c r="F4" s="1">
        <v>450</v>
      </c>
      <c r="G4" s="1">
        <f t="shared" ref="G4:G26" si="2">ROUND(MAX(0, (F4-L4)/L4*100), 2)</f>
        <v>0</v>
      </c>
      <c r="H4" s="1">
        <v>450</v>
      </c>
      <c r="I4" s="1">
        <f t="shared" ref="I4:I26" si="3">ROUND(MAX(0, (H4-L4)/L4*100), 2)</f>
        <v>0</v>
      </c>
      <c r="J4" s="1">
        <v>450</v>
      </c>
      <c r="K4" s="1">
        <f t="shared" ref="K4:K26" si="4">ROUND(MAX(0, (J4-L4)/L4*100), 2)</f>
        <v>0</v>
      </c>
      <c r="L4" s="3">
        <v>450</v>
      </c>
    </row>
    <row r="5" spans="1:15" x14ac:dyDescent="0.3">
      <c r="A5" s="2" t="s">
        <v>10</v>
      </c>
      <c r="B5" s="1">
        <v>237</v>
      </c>
      <c r="C5" s="1">
        <f t="shared" si="0"/>
        <v>11.79</v>
      </c>
      <c r="D5" s="1">
        <v>212</v>
      </c>
      <c r="E5" s="1">
        <f t="shared" si="1"/>
        <v>0</v>
      </c>
      <c r="F5" s="1">
        <v>212</v>
      </c>
      <c r="G5" s="1">
        <f t="shared" si="2"/>
        <v>0</v>
      </c>
      <c r="H5" s="1">
        <v>212</v>
      </c>
      <c r="I5" s="1">
        <f t="shared" si="3"/>
        <v>0</v>
      </c>
      <c r="J5" s="1">
        <v>212</v>
      </c>
      <c r="K5" s="1">
        <f t="shared" si="4"/>
        <v>0</v>
      </c>
      <c r="L5" s="3">
        <v>212</v>
      </c>
    </row>
    <row r="6" spans="1:15" x14ac:dyDescent="0.3">
      <c r="A6" s="2" t="s">
        <v>11</v>
      </c>
      <c r="B6" s="1">
        <v>234</v>
      </c>
      <c r="C6" s="1">
        <f t="shared" si="0"/>
        <v>8.33</v>
      </c>
      <c r="D6" s="1">
        <v>216</v>
      </c>
      <c r="E6" s="1">
        <f t="shared" si="1"/>
        <v>0</v>
      </c>
      <c r="F6" s="1">
        <v>216</v>
      </c>
      <c r="G6" s="1">
        <f t="shared" si="2"/>
        <v>0</v>
      </c>
      <c r="H6" s="1">
        <v>216</v>
      </c>
      <c r="I6" s="1">
        <f t="shared" si="3"/>
        <v>0</v>
      </c>
      <c r="J6" s="1">
        <v>216</v>
      </c>
      <c r="K6" s="1">
        <f t="shared" si="4"/>
        <v>0</v>
      </c>
      <c r="L6" s="3">
        <v>216</v>
      </c>
    </row>
    <row r="7" spans="1:15" x14ac:dyDescent="0.3">
      <c r="A7" s="2" t="s">
        <v>12</v>
      </c>
      <c r="B7" s="1">
        <v>236</v>
      </c>
      <c r="C7" s="1">
        <f t="shared" si="0"/>
        <v>11.85</v>
      </c>
      <c r="D7" s="1">
        <v>211</v>
      </c>
      <c r="E7" s="1">
        <f t="shared" si="1"/>
        <v>0</v>
      </c>
      <c r="F7" s="1">
        <v>211</v>
      </c>
      <c r="G7" s="1">
        <f t="shared" si="2"/>
        <v>0</v>
      </c>
      <c r="H7" s="1">
        <v>211</v>
      </c>
      <c r="I7" s="1">
        <f t="shared" si="3"/>
        <v>0</v>
      </c>
      <c r="J7" s="1">
        <v>211</v>
      </c>
      <c r="K7" s="1">
        <f t="shared" si="4"/>
        <v>0</v>
      </c>
      <c r="L7" s="3">
        <v>211</v>
      </c>
    </row>
    <row r="8" spans="1:15" x14ac:dyDescent="0.3">
      <c r="A8" s="2" t="s">
        <v>13</v>
      </c>
      <c r="B8" s="1">
        <v>240</v>
      </c>
      <c r="C8" s="1">
        <f t="shared" si="0"/>
        <v>11.11</v>
      </c>
      <c r="D8" s="1">
        <v>216</v>
      </c>
      <c r="E8" s="1">
        <f t="shared" si="1"/>
        <v>0</v>
      </c>
      <c r="F8" s="1">
        <v>216</v>
      </c>
      <c r="G8" s="1">
        <f t="shared" si="2"/>
        <v>0</v>
      </c>
      <c r="H8" s="1">
        <v>216</v>
      </c>
      <c r="I8" s="1">
        <f t="shared" si="3"/>
        <v>0</v>
      </c>
      <c r="J8" s="1">
        <v>216</v>
      </c>
      <c r="K8" s="1">
        <f t="shared" si="4"/>
        <v>0</v>
      </c>
      <c r="L8" s="3">
        <v>216</v>
      </c>
    </row>
    <row r="9" spans="1:15" x14ac:dyDescent="0.3">
      <c r="A9" s="2" t="s">
        <v>14</v>
      </c>
      <c r="B9" s="16">
        <v>591</v>
      </c>
      <c r="C9" s="14">
        <f t="shared" si="0"/>
        <v>0</v>
      </c>
      <c r="D9" s="1">
        <v>603</v>
      </c>
      <c r="E9" s="1">
        <f t="shared" si="1"/>
        <v>0</v>
      </c>
      <c r="F9" s="1">
        <v>603</v>
      </c>
      <c r="G9" s="1">
        <f t="shared" si="2"/>
        <v>0</v>
      </c>
      <c r="H9" s="4">
        <v>590</v>
      </c>
      <c r="I9" s="1">
        <f t="shared" si="3"/>
        <v>0</v>
      </c>
      <c r="J9" s="1">
        <v>603</v>
      </c>
      <c r="K9" s="1">
        <f t="shared" si="4"/>
        <v>0</v>
      </c>
      <c r="L9" s="3">
        <v>603</v>
      </c>
    </row>
    <row r="10" spans="1:15" x14ac:dyDescent="0.3">
      <c r="A10" s="2" t="s">
        <v>15</v>
      </c>
      <c r="B10" s="4">
        <v>537</v>
      </c>
      <c r="C10" s="1">
        <f t="shared" si="0"/>
        <v>1.51</v>
      </c>
      <c r="D10" s="16">
        <v>100000000</v>
      </c>
      <c r="E10" s="14">
        <f t="shared" si="1"/>
        <v>18903491.68</v>
      </c>
      <c r="F10" s="1">
        <v>529</v>
      </c>
      <c r="G10" s="1">
        <f t="shared" si="2"/>
        <v>0</v>
      </c>
      <c r="H10" s="1">
        <v>529</v>
      </c>
      <c r="I10" s="1">
        <f t="shared" si="3"/>
        <v>0</v>
      </c>
      <c r="J10" s="1">
        <v>529</v>
      </c>
      <c r="K10" s="1">
        <f t="shared" si="4"/>
        <v>0</v>
      </c>
      <c r="L10" s="3">
        <v>529</v>
      </c>
    </row>
    <row r="11" spans="1:15" x14ac:dyDescent="0.3">
      <c r="A11" s="2" t="s">
        <v>16</v>
      </c>
      <c r="B11" s="1">
        <v>505</v>
      </c>
      <c r="C11" s="1">
        <f t="shared" si="0"/>
        <v>10.26</v>
      </c>
      <c r="D11" s="1">
        <v>458</v>
      </c>
      <c r="E11" s="1">
        <f t="shared" si="1"/>
        <v>0</v>
      </c>
      <c r="F11" s="1">
        <v>458</v>
      </c>
      <c r="G11" s="1">
        <f t="shared" si="2"/>
        <v>0</v>
      </c>
      <c r="H11" s="1">
        <v>458</v>
      </c>
      <c r="I11" s="1">
        <f t="shared" si="3"/>
        <v>0</v>
      </c>
      <c r="J11" s="1">
        <v>458</v>
      </c>
      <c r="K11" s="1">
        <f t="shared" si="4"/>
        <v>0</v>
      </c>
      <c r="L11" s="3">
        <v>458</v>
      </c>
    </row>
    <row r="12" spans="1:15" x14ac:dyDescent="0.3">
      <c r="A12" s="2" t="s">
        <v>17</v>
      </c>
      <c r="B12" s="1">
        <v>528</v>
      </c>
      <c r="C12" s="1">
        <f t="shared" si="0"/>
        <v>3.53</v>
      </c>
      <c r="D12" s="1">
        <v>510</v>
      </c>
      <c r="E12" s="1">
        <f t="shared" si="1"/>
        <v>0</v>
      </c>
      <c r="F12" s="1">
        <v>510</v>
      </c>
      <c r="G12" s="1">
        <f t="shared" si="2"/>
        <v>0</v>
      </c>
      <c r="H12" s="1">
        <v>510</v>
      </c>
      <c r="I12" s="1">
        <f t="shared" si="3"/>
        <v>0</v>
      </c>
      <c r="J12" s="1">
        <v>510</v>
      </c>
      <c r="K12" s="1">
        <f t="shared" si="4"/>
        <v>0</v>
      </c>
      <c r="L12" s="3">
        <v>510</v>
      </c>
    </row>
    <row r="13" spans="1:15" x14ac:dyDescent="0.3">
      <c r="A13" s="2" t="s">
        <v>18</v>
      </c>
      <c r="B13" s="4">
        <v>756</v>
      </c>
      <c r="C13" s="1">
        <f t="shared" si="0"/>
        <v>8.6199999999999992</v>
      </c>
      <c r="D13" s="1">
        <v>704</v>
      </c>
      <c r="E13" s="1">
        <f t="shared" si="1"/>
        <v>1.1499999999999999</v>
      </c>
      <c r="F13" s="1">
        <v>696</v>
      </c>
      <c r="G13" s="1">
        <f t="shared" si="2"/>
        <v>0</v>
      </c>
      <c r="H13" s="1">
        <v>697</v>
      </c>
      <c r="I13" s="1">
        <f t="shared" si="3"/>
        <v>0.14000000000000001</v>
      </c>
      <c r="J13" s="1">
        <v>696</v>
      </c>
      <c r="K13" s="1">
        <f t="shared" si="4"/>
        <v>0</v>
      </c>
      <c r="L13" s="3">
        <v>696</v>
      </c>
    </row>
    <row r="14" spans="1:15" x14ac:dyDescent="0.3">
      <c r="A14" s="2" t="s">
        <v>19</v>
      </c>
      <c r="B14" s="1">
        <v>584</v>
      </c>
      <c r="C14" s="1">
        <f t="shared" si="0"/>
        <v>5.42</v>
      </c>
      <c r="D14" s="1">
        <v>557</v>
      </c>
      <c r="E14" s="1">
        <f t="shared" si="1"/>
        <v>0.54</v>
      </c>
      <c r="F14" s="1">
        <v>554</v>
      </c>
      <c r="G14" s="1">
        <f t="shared" si="2"/>
        <v>0</v>
      </c>
      <c r="H14" s="1">
        <v>554</v>
      </c>
      <c r="I14" s="1">
        <f t="shared" si="3"/>
        <v>0</v>
      </c>
      <c r="J14" s="1">
        <v>554</v>
      </c>
      <c r="K14" s="1">
        <f t="shared" si="4"/>
        <v>0</v>
      </c>
      <c r="L14" s="3">
        <v>554</v>
      </c>
    </row>
    <row r="15" spans="1:15" x14ac:dyDescent="0.3">
      <c r="A15" s="2" t="s">
        <v>20</v>
      </c>
      <c r="B15" s="4">
        <v>644</v>
      </c>
      <c r="C15" s="1">
        <f t="shared" si="0"/>
        <v>2.06</v>
      </c>
      <c r="D15" s="1">
        <v>647</v>
      </c>
      <c r="E15" s="1">
        <f t="shared" si="1"/>
        <v>2.54</v>
      </c>
      <c r="F15" s="1">
        <v>631</v>
      </c>
      <c r="G15" s="1">
        <f t="shared" si="2"/>
        <v>0</v>
      </c>
      <c r="H15" s="4">
        <v>629</v>
      </c>
      <c r="I15" s="1">
        <f t="shared" si="3"/>
        <v>0</v>
      </c>
      <c r="J15" s="1">
        <v>631</v>
      </c>
      <c r="K15" s="1">
        <f t="shared" si="4"/>
        <v>0</v>
      </c>
      <c r="L15" s="3">
        <v>631</v>
      </c>
      <c r="O15" s="8"/>
    </row>
    <row r="16" spans="1:15" x14ac:dyDescent="0.3">
      <c r="A16" s="2" t="s">
        <v>21</v>
      </c>
      <c r="B16" s="4">
        <v>773</v>
      </c>
      <c r="C16" s="1">
        <f t="shared" si="0"/>
        <v>4.32</v>
      </c>
      <c r="D16" s="1">
        <v>752</v>
      </c>
      <c r="E16" s="1">
        <f t="shared" si="1"/>
        <v>1.48</v>
      </c>
      <c r="F16" s="1">
        <v>741</v>
      </c>
      <c r="G16" s="1">
        <f t="shared" si="2"/>
        <v>0</v>
      </c>
      <c r="H16" s="1">
        <v>741</v>
      </c>
      <c r="I16" s="1">
        <f t="shared" si="3"/>
        <v>0</v>
      </c>
      <c r="J16" s="1">
        <v>741</v>
      </c>
      <c r="K16" s="1">
        <f t="shared" si="4"/>
        <v>0</v>
      </c>
      <c r="L16" s="3">
        <v>741</v>
      </c>
    </row>
    <row r="17" spans="1:12" x14ac:dyDescent="0.3">
      <c r="A17" s="2" t="s">
        <v>22</v>
      </c>
      <c r="B17" s="1">
        <v>730</v>
      </c>
      <c r="C17" s="1">
        <f t="shared" si="0"/>
        <v>5.19</v>
      </c>
      <c r="D17" s="1">
        <v>704</v>
      </c>
      <c r="E17" s="1">
        <f t="shared" si="1"/>
        <v>1.44</v>
      </c>
      <c r="F17" s="1">
        <v>694</v>
      </c>
      <c r="G17" s="1">
        <f t="shared" si="2"/>
        <v>0</v>
      </c>
      <c r="H17" s="1">
        <v>695</v>
      </c>
      <c r="I17" s="1">
        <f t="shared" si="3"/>
        <v>0.14000000000000001</v>
      </c>
      <c r="J17" s="1">
        <v>694.2</v>
      </c>
      <c r="K17" s="1">
        <f t="shared" si="4"/>
        <v>0.03</v>
      </c>
      <c r="L17" s="3">
        <v>694</v>
      </c>
    </row>
    <row r="18" spans="1:12" x14ac:dyDescent="0.3">
      <c r="A18" s="2" t="s">
        <v>23</v>
      </c>
      <c r="B18" s="16">
        <v>982</v>
      </c>
      <c r="C18" s="15">
        <f t="shared" si="0"/>
        <v>0</v>
      </c>
      <c r="D18" s="16">
        <v>100000000</v>
      </c>
      <c r="E18" s="14">
        <f t="shared" si="1"/>
        <v>10111123.460000001</v>
      </c>
      <c r="F18" s="16">
        <v>958</v>
      </c>
      <c r="G18" s="15">
        <f t="shared" si="2"/>
        <v>0</v>
      </c>
      <c r="H18" s="4">
        <v>941</v>
      </c>
      <c r="I18" s="1">
        <f t="shared" si="3"/>
        <v>0</v>
      </c>
      <c r="J18" s="1">
        <v>989</v>
      </c>
      <c r="K18" s="1">
        <f t="shared" si="4"/>
        <v>0</v>
      </c>
      <c r="L18" s="3">
        <v>989</v>
      </c>
    </row>
    <row r="19" spans="1:12" x14ac:dyDescent="0.3">
      <c r="A19" s="2" t="s">
        <v>24</v>
      </c>
      <c r="B19" s="1">
        <v>617</v>
      </c>
      <c r="C19" s="1">
        <f t="shared" si="0"/>
        <v>8.6300000000000008</v>
      </c>
      <c r="D19" s="1">
        <v>568</v>
      </c>
      <c r="E19" s="1">
        <f t="shared" si="1"/>
        <v>0</v>
      </c>
      <c r="F19" s="1">
        <v>568</v>
      </c>
      <c r="G19" s="1">
        <f t="shared" si="2"/>
        <v>0</v>
      </c>
      <c r="H19" s="1">
        <v>568</v>
      </c>
      <c r="I19" s="1">
        <f t="shared" si="3"/>
        <v>0</v>
      </c>
      <c r="J19" s="1">
        <v>568</v>
      </c>
      <c r="K19" s="1">
        <f t="shared" si="4"/>
        <v>0</v>
      </c>
      <c r="L19" s="3">
        <v>568</v>
      </c>
    </row>
    <row r="20" spans="1:12" x14ac:dyDescent="0.3">
      <c r="A20" s="2" t="s">
        <v>25</v>
      </c>
      <c r="B20" s="1">
        <v>629</v>
      </c>
      <c r="C20" s="1">
        <f t="shared" si="0"/>
        <v>6.97</v>
      </c>
      <c r="D20" s="1">
        <v>577</v>
      </c>
      <c r="E20" s="1">
        <f t="shared" si="1"/>
        <v>0</v>
      </c>
      <c r="F20" s="1">
        <v>588</v>
      </c>
      <c r="G20" s="1">
        <f t="shared" si="2"/>
        <v>0</v>
      </c>
      <c r="H20" s="1">
        <v>576</v>
      </c>
      <c r="I20" s="1">
        <f t="shared" si="3"/>
        <v>0</v>
      </c>
      <c r="J20" s="1">
        <v>576.1</v>
      </c>
      <c r="K20" s="1">
        <f t="shared" si="4"/>
        <v>0</v>
      </c>
      <c r="L20" s="3">
        <v>588</v>
      </c>
    </row>
    <row r="21" spans="1:12" x14ac:dyDescent="0.3">
      <c r="A21" s="2" t="s">
        <v>26</v>
      </c>
      <c r="B21" s="1">
        <v>797</v>
      </c>
      <c r="C21" s="1">
        <f t="shared" si="0"/>
        <v>7.12</v>
      </c>
      <c r="D21" s="1">
        <v>744</v>
      </c>
      <c r="E21" s="1">
        <f t="shared" si="1"/>
        <v>0</v>
      </c>
      <c r="F21" s="1">
        <v>744</v>
      </c>
      <c r="G21" s="1">
        <f t="shared" si="2"/>
        <v>0</v>
      </c>
      <c r="H21" s="1">
        <v>744</v>
      </c>
      <c r="I21" s="1">
        <f t="shared" si="3"/>
        <v>0</v>
      </c>
      <c r="J21" s="1">
        <v>744</v>
      </c>
      <c r="K21" s="1">
        <f t="shared" si="4"/>
        <v>0</v>
      </c>
      <c r="L21" s="3">
        <v>744</v>
      </c>
    </row>
    <row r="22" spans="1:12" x14ac:dyDescent="0.3">
      <c r="A22" s="2" t="s">
        <v>27</v>
      </c>
      <c r="B22" s="4">
        <v>1019</v>
      </c>
      <c r="C22" s="1">
        <f t="shared" si="0"/>
        <v>5.27</v>
      </c>
      <c r="D22" s="1">
        <v>973</v>
      </c>
      <c r="E22" s="1">
        <f t="shared" si="1"/>
        <v>0.52</v>
      </c>
      <c r="F22" s="1">
        <v>968</v>
      </c>
      <c r="G22" s="1">
        <f t="shared" si="2"/>
        <v>0</v>
      </c>
      <c r="H22" s="1">
        <v>968</v>
      </c>
      <c r="I22" s="1">
        <f t="shared" si="3"/>
        <v>0</v>
      </c>
      <c r="J22" s="1">
        <v>968</v>
      </c>
      <c r="K22" s="1">
        <f t="shared" si="4"/>
        <v>0</v>
      </c>
      <c r="L22" s="3">
        <v>968</v>
      </c>
    </row>
    <row r="23" spans="1:12" x14ac:dyDescent="0.3">
      <c r="A23" s="2" t="s">
        <v>28</v>
      </c>
      <c r="B23" s="1">
        <v>848</v>
      </c>
      <c r="C23" s="1">
        <f t="shared" si="0"/>
        <v>7.07</v>
      </c>
      <c r="D23" s="1">
        <v>792</v>
      </c>
      <c r="E23" s="1">
        <f t="shared" si="1"/>
        <v>0</v>
      </c>
      <c r="F23" s="1">
        <v>792</v>
      </c>
      <c r="G23" s="1">
        <f t="shared" si="2"/>
        <v>0</v>
      </c>
      <c r="H23" s="1">
        <v>792</v>
      </c>
      <c r="I23" s="1">
        <f t="shared" si="3"/>
        <v>0</v>
      </c>
      <c r="J23" s="1">
        <v>792</v>
      </c>
      <c r="K23" s="1">
        <f t="shared" si="4"/>
        <v>0</v>
      </c>
      <c r="L23" s="3">
        <v>792</v>
      </c>
    </row>
    <row r="24" spans="1:12" x14ac:dyDescent="0.3">
      <c r="A24" s="2" t="s">
        <v>29</v>
      </c>
      <c r="B24" s="4">
        <v>883</v>
      </c>
      <c r="C24" s="1">
        <f t="shared" si="0"/>
        <v>6.77</v>
      </c>
      <c r="D24" s="1">
        <v>837</v>
      </c>
      <c r="E24" s="1">
        <f t="shared" si="1"/>
        <v>1.21</v>
      </c>
      <c r="F24" s="1">
        <v>827</v>
      </c>
      <c r="G24" s="1">
        <f t="shared" si="2"/>
        <v>0</v>
      </c>
      <c r="H24" s="1">
        <v>827</v>
      </c>
      <c r="I24" s="1">
        <f t="shared" si="3"/>
        <v>0</v>
      </c>
      <c r="J24" s="1">
        <v>827</v>
      </c>
      <c r="K24" s="1">
        <f t="shared" si="4"/>
        <v>0</v>
      </c>
      <c r="L24" s="3">
        <v>827</v>
      </c>
    </row>
    <row r="25" spans="1:12" x14ac:dyDescent="0.3">
      <c r="A25" s="2" t="s">
        <v>30</v>
      </c>
      <c r="B25" s="1">
        <v>666</v>
      </c>
      <c r="C25" s="1">
        <f t="shared" si="0"/>
        <v>12.31</v>
      </c>
      <c r="D25" s="1">
        <v>609</v>
      </c>
      <c r="E25" s="1">
        <f t="shared" si="1"/>
        <v>2.7</v>
      </c>
      <c r="F25" s="1">
        <v>593</v>
      </c>
      <c r="G25" s="1">
        <f t="shared" si="2"/>
        <v>0</v>
      </c>
      <c r="H25" s="1">
        <v>593</v>
      </c>
      <c r="I25" s="1">
        <f t="shared" si="3"/>
        <v>0</v>
      </c>
      <c r="J25" s="1">
        <v>593</v>
      </c>
      <c r="K25" s="1">
        <f t="shared" si="4"/>
        <v>0</v>
      </c>
      <c r="L25" s="3">
        <v>593</v>
      </c>
    </row>
    <row r="26" spans="1:12" x14ac:dyDescent="0.3">
      <c r="A26" s="5" t="s">
        <v>31</v>
      </c>
      <c r="B26" s="17">
        <v>681</v>
      </c>
      <c r="C26" s="6">
        <f t="shared" si="0"/>
        <v>8.61</v>
      </c>
      <c r="D26" s="6">
        <v>634</v>
      </c>
      <c r="E26" s="6">
        <f t="shared" si="1"/>
        <v>1.1200000000000001</v>
      </c>
      <c r="F26" s="6">
        <v>627</v>
      </c>
      <c r="G26" s="6">
        <f t="shared" si="2"/>
        <v>0</v>
      </c>
      <c r="H26" s="6">
        <v>627</v>
      </c>
      <c r="I26" s="6">
        <f t="shared" si="3"/>
        <v>0</v>
      </c>
      <c r="J26" s="6">
        <v>627</v>
      </c>
      <c r="K26" s="6">
        <f t="shared" si="4"/>
        <v>0</v>
      </c>
      <c r="L26" s="7">
        <v>627</v>
      </c>
    </row>
  </sheetData>
  <mergeCells count="7">
    <mergeCell ref="A1:A2"/>
    <mergeCell ref="J1:K1"/>
    <mergeCell ref="L1:L2"/>
    <mergeCell ref="B1:C1"/>
    <mergeCell ref="D1:E1"/>
    <mergeCell ref="F1:G1"/>
    <mergeCell ref="H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*</dc:creator>
  <cp:lastModifiedBy>Полина *</cp:lastModifiedBy>
  <cp:lastPrinted>2026-09-10T07:12:07Z</cp:lastPrinted>
  <dcterms:created xsi:type="dcterms:W3CDTF">2026-09-10T06:49:17Z</dcterms:created>
  <dcterms:modified xsi:type="dcterms:W3CDTF">2026-09-27T09:38:00Z</dcterms:modified>
</cp:coreProperties>
</file>