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phaEvolve\evolve\results\all\"/>
    </mc:Choice>
  </mc:AlternateContent>
  <xr:revisionPtr revIDLastSave="0" documentId="13_ncr:1_{3FE3835C-FFFB-44E2-8157-D4D1D9A1F91A}" xr6:coauthVersionLast="47" xr6:coauthVersionMax="47" xr10:uidLastSave="{00000000-0000-0000-0000-000000000000}"/>
  <bookViews>
    <workbookView xWindow="-108" yWindow="-108" windowWidth="23256" windowHeight="12576" xr2:uid="{091AE1B6-CD12-4888-B5BC-FD933055B1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3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</calcChain>
</file>

<file path=xl/sharedStrings.xml><?xml version="1.0" encoding="utf-8"?>
<sst xmlns="http://schemas.openxmlformats.org/spreadsheetml/2006/main" count="117" uniqueCount="109">
  <si>
    <t>Instance</t>
  </si>
  <si>
    <t>CW</t>
  </si>
  <si>
    <t>OR</t>
  </si>
  <si>
    <t>AILS-II</t>
  </si>
  <si>
    <t>KGLS</t>
  </si>
  <si>
    <t>HGS</t>
  </si>
  <si>
    <t>BKS</t>
  </si>
  <si>
    <t>Avg</t>
  </si>
  <si>
    <t>Gap</t>
  </si>
  <si>
    <t>X-n101-k25</t>
  </si>
  <si>
    <t>X-n106-k14</t>
  </si>
  <si>
    <t>X-n110-k13</t>
  </si>
  <si>
    <t>X-n115-k10</t>
  </si>
  <si>
    <t>X-n120-k6</t>
  </si>
  <si>
    <t>X-n125-k30</t>
  </si>
  <si>
    <t>X-n129-k18</t>
  </si>
  <si>
    <t>X-n134-k13</t>
  </si>
  <si>
    <t>X-n139-k10</t>
  </si>
  <si>
    <t>X-n143-k7</t>
  </si>
  <si>
    <t>X-n148-k46</t>
  </si>
  <si>
    <t>X-n153-k22</t>
  </si>
  <si>
    <t>X-n157-k13</t>
  </si>
  <si>
    <t>X-n162-k11</t>
  </si>
  <si>
    <t>X-n167-k10</t>
  </si>
  <si>
    <t>X-n172-k51</t>
  </si>
  <si>
    <t>X-n176-k26</t>
  </si>
  <si>
    <t>X-n181-k23</t>
  </si>
  <si>
    <t>X-n186-k15</t>
  </si>
  <si>
    <t>X-n190-k8</t>
  </si>
  <si>
    <t>X-n195-k51</t>
  </si>
  <si>
    <t>X-n200-k36</t>
  </si>
  <si>
    <t>X-n204-k19</t>
  </si>
  <si>
    <t>X-n209-k16</t>
  </si>
  <si>
    <t>X-n214-k11</t>
  </si>
  <si>
    <t>X-n219-k73</t>
  </si>
  <si>
    <t>X-n223-k34</t>
  </si>
  <si>
    <t>X-n228-k23</t>
  </si>
  <si>
    <t>X-n233-k16</t>
  </si>
  <si>
    <t>X-n237-k14</t>
  </si>
  <si>
    <t>X-n242-k48</t>
  </si>
  <si>
    <t>X-n247-k50</t>
  </si>
  <si>
    <t>X-n251-k28</t>
  </si>
  <si>
    <t>X-n256-k16</t>
  </si>
  <si>
    <t>X-n261-k13</t>
  </si>
  <si>
    <t>X-n266-k58</t>
  </si>
  <si>
    <t>X-n270-k35</t>
  </si>
  <si>
    <t>X-n275-k28</t>
  </si>
  <si>
    <t>X-n280-k17</t>
  </si>
  <si>
    <t>X-n284-k15</t>
  </si>
  <si>
    <t>X-n289-k60</t>
  </si>
  <si>
    <t>X-n294-k50</t>
  </si>
  <si>
    <t>X-n298-k31</t>
  </si>
  <si>
    <t>X-n303-k21</t>
  </si>
  <si>
    <t>X-n308-k13</t>
  </si>
  <si>
    <t>X-n313-k71</t>
  </si>
  <si>
    <t>X-n317-k53</t>
  </si>
  <si>
    <t>X-n322-k28</t>
  </si>
  <si>
    <t>X-n327-k20</t>
  </si>
  <si>
    <t>X-n331-k15</t>
  </si>
  <si>
    <t>X-n336-k84</t>
  </si>
  <si>
    <t>X-n344-k43</t>
  </si>
  <si>
    <t>X-n351-k40</t>
  </si>
  <si>
    <t>X-n359-k29</t>
  </si>
  <si>
    <t>X-n367-k17</t>
  </si>
  <si>
    <t>X-n376-k94</t>
  </si>
  <si>
    <t>X-n384-k52</t>
  </si>
  <si>
    <t>X-n393-k38</t>
  </si>
  <si>
    <t>X-n401-k29</t>
  </si>
  <si>
    <t>X-n411-k19</t>
  </si>
  <si>
    <t>X-n420-k130</t>
  </si>
  <si>
    <t>X-n429-k61</t>
  </si>
  <si>
    <t>X-n439-k37</t>
  </si>
  <si>
    <t>X-n449-k29</t>
  </si>
  <si>
    <t>X-n459-k26</t>
  </si>
  <si>
    <t>X-n469-k138</t>
  </si>
  <si>
    <t>X-n480-k70</t>
  </si>
  <si>
    <t>X-n491-k59</t>
  </si>
  <si>
    <t>X-n502-k39</t>
  </si>
  <si>
    <t>X-n513-k21</t>
  </si>
  <si>
    <t>X-n524-k153</t>
  </si>
  <si>
    <t>X-n536-k96</t>
  </si>
  <si>
    <t>X-n548-k50</t>
  </si>
  <si>
    <t>X-n561-k42</t>
  </si>
  <si>
    <t>X-n573-k30</t>
  </si>
  <si>
    <t>X-n586-k159</t>
  </si>
  <si>
    <t>X-n599-k92</t>
  </si>
  <si>
    <t>X-n613-k62</t>
  </si>
  <si>
    <t>X-n627-k43</t>
  </si>
  <si>
    <t>X-n641-k35</t>
  </si>
  <si>
    <t>X-n655-k131</t>
  </si>
  <si>
    <t>X-n670-k130</t>
  </si>
  <si>
    <t>X-n685-k75</t>
  </si>
  <si>
    <t>X-n701-k44</t>
  </si>
  <si>
    <t>X-n716-k35</t>
  </si>
  <si>
    <t>X-n733-k159</t>
  </si>
  <si>
    <t>X-n749-k98</t>
  </si>
  <si>
    <t>X-n766-k71</t>
  </si>
  <si>
    <t>X-n783-k48</t>
  </si>
  <si>
    <t>X-n801-k40</t>
  </si>
  <si>
    <t>X-n819-k171</t>
  </si>
  <si>
    <t>X-n837-k142</t>
  </si>
  <si>
    <t>X-n856-k95</t>
  </si>
  <si>
    <t>X-n876-k59</t>
  </si>
  <si>
    <t>X-n895-k37</t>
  </si>
  <si>
    <t>X-n916-k207</t>
  </si>
  <si>
    <t>X-n936-k151</t>
  </si>
  <si>
    <t>X-n957-k87</t>
  </si>
  <si>
    <t>X-n979-k58</t>
  </si>
  <si>
    <t>X-n1001-k43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</si>
</sst>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310D8-A762-451F-B180-DAB910ED3390}">
  <dimension ref="A1:L102"/>
  <sheetViews>
    <sheetView tabSelected="1" topLeftCell="A99" workbookViewId="0">
      <selection activeCell="N97" sqref="N97"/>
    </sheetView>
  </sheetViews>
  <sheetFormatPr defaultRowHeight="14.4" x14ac:dyDescent="0.3"/>
  <cols>
    <col min="1" max="1" width="11.21875" bestFit="1" customWidth="1"/>
  </cols>
  <sheetData>
    <row r="1" spans="1:12" x14ac:dyDescent="0.3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  <c r="J1" s="2" t="s">
        <v>5</v>
      </c>
      <c r="K1" s="2"/>
      <c r="L1" s="3" t="s">
        <v>6</v>
      </c>
    </row>
    <row r="2" spans="1:12" x14ac:dyDescent="0.3">
      <c r="A2" s="4"/>
      <c r="B2" s="5" t="s">
        <v>7</v>
      </c>
      <c r="C2" s="15" t="s">
        <v>8</v>
      </c>
      <c r="D2" s="5" t="s">
        <v>7</v>
      </c>
      <c r="E2" s="15" t="s">
        <v>8</v>
      </c>
      <c r="F2" s="5" t="s">
        <v>7</v>
      </c>
      <c r="G2" s="5" t="s">
        <v>8</v>
      </c>
      <c r="H2" s="5" t="s">
        <v>7</v>
      </c>
      <c r="I2" s="15" t="s">
        <v>8</v>
      </c>
      <c r="J2" s="5" t="s">
        <v>7</v>
      </c>
      <c r="K2" s="15" t="s">
        <v>8</v>
      </c>
      <c r="L2" s="6"/>
    </row>
    <row r="3" spans="1:12" x14ac:dyDescent="0.3">
      <c r="A3" s="7" t="s">
        <v>108</v>
      </c>
      <c r="B3">
        <v>77183</v>
      </c>
      <c r="C3" s="11">
        <f>ROUND(MAX(0, (B3-L3)/L3*100), 2)</f>
        <v>6.67</v>
      </c>
      <c r="D3" s="8">
        <v>78084.7</v>
      </c>
      <c r="E3" s="11">
        <f>ROUND(MAX(0, (D3-L3)/L3*100), 2)</f>
        <v>7.92</v>
      </c>
      <c r="F3" s="8"/>
      <c r="G3" s="8"/>
      <c r="H3" s="8">
        <v>72998.899999999994</v>
      </c>
      <c r="I3" s="11">
        <f>ROUND(MAX(0, (H3-L3)/L3*100), 2)</f>
        <v>0.89</v>
      </c>
      <c r="J3" s="8">
        <v>72748.800000000003</v>
      </c>
      <c r="K3" s="11">
        <f>ROUND(MAX(0, (J3-L3)/L3*100), 2)</f>
        <v>0.54</v>
      </c>
      <c r="L3" s="9">
        <v>72355</v>
      </c>
    </row>
    <row r="4" spans="1:12" x14ac:dyDescent="0.3">
      <c r="A4" s="10" t="s">
        <v>9</v>
      </c>
      <c r="B4">
        <v>29111</v>
      </c>
      <c r="C4" s="11">
        <f t="shared" ref="C4:C67" si="0">ROUND(MAX(0, (B4-L4)/L4*100), 2)</f>
        <v>5.51</v>
      </c>
      <c r="D4" s="11">
        <v>27977.200000000001</v>
      </c>
      <c r="E4" s="11">
        <f t="shared" ref="E4:E67" si="1">ROUND(MAX(0, (D4-L4)/L4*100), 2)</f>
        <v>1.4</v>
      </c>
      <c r="F4" s="11"/>
      <c r="G4" s="11"/>
      <c r="H4" s="11">
        <v>27631.9</v>
      </c>
      <c r="I4" s="11">
        <f t="shared" ref="I4:I67" si="2">ROUND(MAX(0, (H4-L4)/L4*100), 2)</f>
        <v>0.15</v>
      </c>
      <c r="J4" s="11">
        <v>27591</v>
      </c>
      <c r="K4" s="11">
        <f t="shared" ref="K4:K67" si="3">ROUND(MAX(0, (J4-L4)/L4*100), 2)</f>
        <v>0</v>
      </c>
      <c r="L4" s="12">
        <v>27591</v>
      </c>
    </row>
    <row r="5" spans="1:12" x14ac:dyDescent="0.3">
      <c r="A5" s="10" t="s">
        <v>10</v>
      </c>
      <c r="B5">
        <v>27374</v>
      </c>
      <c r="C5" s="11">
        <f t="shared" si="0"/>
        <v>3.84</v>
      </c>
      <c r="D5" s="11">
        <v>26757.5</v>
      </c>
      <c r="E5" s="11">
        <f t="shared" si="1"/>
        <v>1.5</v>
      </c>
      <c r="F5" s="11"/>
      <c r="G5" s="11"/>
      <c r="H5" s="11">
        <v>26413.200000000001</v>
      </c>
      <c r="I5" s="11">
        <f t="shared" si="2"/>
        <v>0.19</v>
      </c>
      <c r="J5" s="11">
        <v>26381.4</v>
      </c>
      <c r="K5" s="11">
        <f t="shared" si="3"/>
        <v>7.0000000000000007E-2</v>
      </c>
      <c r="L5" s="12">
        <v>26362</v>
      </c>
    </row>
    <row r="6" spans="1:12" x14ac:dyDescent="0.3">
      <c r="A6" s="10" t="s">
        <v>11</v>
      </c>
      <c r="B6">
        <v>15859</v>
      </c>
      <c r="C6" s="11">
        <f t="shared" si="0"/>
        <v>5.93</v>
      </c>
      <c r="D6" s="11">
        <v>15099.8</v>
      </c>
      <c r="E6" s="11">
        <f t="shared" si="1"/>
        <v>0.86</v>
      </c>
      <c r="F6" s="11"/>
      <c r="G6" s="11"/>
      <c r="H6" s="11">
        <v>14971</v>
      </c>
      <c r="I6" s="11">
        <f t="shared" si="2"/>
        <v>0</v>
      </c>
      <c r="J6" s="11">
        <v>14971</v>
      </c>
      <c r="K6" s="11">
        <f t="shared" si="3"/>
        <v>0</v>
      </c>
      <c r="L6" s="12">
        <v>14971</v>
      </c>
    </row>
    <row r="7" spans="1:12" x14ac:dyDescent="0.3">
      <c r="A7" s="10" t="s">
        <v>12</v>
      </c>
      <c r="B7">
        <v>13487</v>
      </c>
      <c r="C7" s="11">
        <f t="shared" si="0"/>
        <v>5.81</v>
      </c>
      <c r="D7" s="11">
        <v>12808.3</v>
      </c>
      <c r="E7" s="11">
        <f t="shared" si="1"/>
        <v>0.48</v>
      </c>
      <c r="F7" s="11"/>
      <c r="G7" s="11"/>
      <c r="H7" s="11">
        <v>12747.1</v>
      </c>
      <c r="I7" s="11">
        <f t="shared" si="2"/>
        <v>0</v>
      </c>
      <c r="J7" s="11">
        <v>12747</v>
      </c>
      <c r="K7" s="11">
        <f t="shared" si="3"/>
        <v>0</v>
      </c>
      <c r="L7" s="12">
        <v>12747</v>
      </c>
    </row>
    <row r="8" spans="1:12" x14ac:dyDescent="0.3">
      <c r="A8" s="10" t="s">
        <v>13</v>
      </c>
      <c r="B8">
        <v>14541</v>
      </c>
      <c r="C8" s="11">
        <f t="shared" si="0"/>
        <v>9.07</v>
      </c>
      <c r="D8" s="11">
        <v>13501.9</v>
      </c>
      <c r="E8" s="11">
        <f t="shared" si="1"/>
        <v>1.27</v>
      </c>
      <c r="F8" s="11"/>
      <c r="G8" s="11"/>
      <c r="H8" s="11">
        <v>13332</v>
      </c>
      <c r="I8" s="11">
        <f t="shared" si="2"/>
        <v>0</v>
      </c>
      <c r="J8" s="11">
        <v>13332</v>
      </c>
      <c r="K8" s="11">
        <f t="shared" si="3"/>
        <v>0</v>
      </c>
      <c r="L8" s="12">
        <v>13332</v>
      </c>
    </row>
    <row r="9" spans="1:12" x14ac:dyDescent="0.3">
      <c r="A9" s="10" t="s">
        <v>14</v>
      </c>
      <c r="B9">
        <v>58077</v>
      </c>
      <c r="C9" s="11">
        <f t="shared" si="0"/>
        <v>4.57</v>
      </c>
      <c r="D9" s="11">
        <v>56853.4</v>
      </c>
      <c r="E9" s="11">
        <f t="shared" si="1"/>
        <v>2.37</v>
      </c>
      <c r="F9" s="11"/>
      <c r="G9" s="11"/>
      <c r="H9" s="11">
        <v>55740.800000000003</v>
      </c>
      <c r="I9" s="11">
        <f t="shared" si="2"/>
        <v>0.36</v>
      </c>
      <c r="J9" s="11">
        <v>55539</v>
      </c>
      <c r="K9" s="11">
        <f t="shared" si="3"/>
        <v>0</v>
      </c>
      <c r="L9" s="12">
        <v>55539</v>
      </c>
    </row>
    <row r="10" spans="1:12" x14ac:dyDescent="0.3">
      <c r="A10" s="10" t="s">
        <v>15</v>
      </c>
      <c r="B10">
        <v>30249</v>
      </c>
      <c r="C10" s="11">
        <f t="shared" si="0"/>
        <v>4.5199999999999996</v>
      </c>
      <c r="D10" s="11">
        <v>29722.3</v>
      </c>
      <c r="E10" s="11">
        <f t="shared" si="1"/>
        <v>2.7</v>
      </c>
      <c r="F10" s="11"/>
      <c r="G10" s="11"/>
      <c r="H10" s="11">
        <v>28971.599999999999</v>
      </c>
      <c r="I10" s="11">
        <f t="shared" si="2"/>
        <v>0.11</v>
      </c>
      <c r="J10" s="11">
        <v>28940</v>
      </c>
      <c r="K10" s="11">
        <f t="shared" si="3"/>
        <v>0</v>
      </c>
      <c r="L10" s="12">
        <v>28940</v>
      </c>
    </row>
    <row r="11" spans="1:12" x14ac:dyDescent="0.3">
      <c r="A11" s="10" t="s">
        <v>16</v>
      </c>
      <c r="B11">
        <v>11518</v>
      </c>
      <c r="C11" s="11">
        <f t="shared" si="0"/>
        <v>5.51</v>
      </c>
      <c r="D11" s="11">
        <v>11171</v>
      </c>
      <c r="E11" s="11">
        <f t="shared" si="1"/>
        <v>2.34</v>
      </c>
      <c r="F11" s="11"/>
      <c r="G11" s="11"/>
      <c r="H11" s="11">
        <v>10940.5</v>
      </c>
      <c r="I11" s="11">
        <f t="shared" si="2"/>
        <v>0.22</v>
      </c>
      <c r="J11" s="11">
        <v>10916</v>
      </c>
      <c r="K11" s="11">
        <f t="shared" si="3"/>
        <v>0</v>
      </c>
      <c r="L11" s="12">
        <v>10916</v>
      </c>
    </row>
    <row r="12" spans="1:12" x14ac:dyDescent="0.3">
      <c r="A12" s="10" t="s">
        <v>17</v>
      </c>
      <c r="B12">
        <v>14503</v>
      </c>
      <c r="C12" s="11">
        <f t="shared" si="0"/>
        <v>6.72</v>
      </c>
      <c r="D12" s="11">
        <v>13741.2</v>
      </c>
      <c r="E12" s="11">
        <f t="shared" si="1"/>
        <v>1.1100000000000001</v>
      </c>
      <c r="F12" s="11"/>
      <c r="G12" s="11"/>
      <c r="H12" s="11">
        <v>13590</v>
      </c>
      <c r="I12" s="11">
        <f t="shared" si="2"/>
        <v>0</v>
      </c>
      <c r="J12" s="11">
        <v>13590</v>
      </c>
      <c r="K12" s="11">
        <f t="shared" si="3"/>
        <v>0</v>
      </c>
      <c r="L12" s="12">
        <v>13590</v>
      </c>
    </row>
    <row r="13" spans="1:12" x14ac:dyDescent="0.3">
      <c r="A13" s="10" t="s">
        <v>18</v>
      </c>
      <c r="B13">
        <v>17765</v>
      </c>
      <c r="C13" s="11">
        <f t="shared" si="0"/>
        <v>13.15</v>
      </c>
      <c r="D13" s="11">
        <v>16135.6</v>
      </c>
      <c r="E13" s="11">
        <f t="shared" si="1"/>
        <v>2.77</v>
      </c>
      <c r="F13" s="11"/>
      <c r="G13" s="11"/>
      <c r="H13" s="11">
        <v>15730.6</v>
      </c>
      <c r="I13" s="11">
        <f t="shared" si="2"/>
        <v>0.19</v>
      </c>
      <c r="J13" s="11">
        <v>15700</v>
      </c>
      <c r="K13" s="11">
        <f t="shared" si="3"/>
        <v>0</v>
      </c>
      <c r="L13" s="12">
        <v>15700</v>
      </c>
    </row>
    <row r="14" spans="1:12" x14ac:dyDescent="0.3">
      <c r="A14" s="10" t="s">
        <v>19</v>
      </c>
      <c r="B14">
        <v>45123</v>
      </c>
      <c r="C14" s="11">
        <f t="shared" si="0"/>
        <v>3.86</v>
      </c>
      <c r="D14" s="11">
        <v>44598.5</v>
      </c>
      <c r="E14" s="11">
        <f t="shared" si="1"/>
        <v>2.65</v>
      </c>
      <c r="F14" s="11"/>
      <c r="G14" s="11"/>
      <c r="H14" s="11">
        <v>43588.3</v>
      </c>
      <c r="I14" s="11">
        <f t="shared" si="2"/>
        <v>0.32</v>
      </c>
      <c r="J14" s="11">
        <v>43448</v>
      </c>
      <c r="K14" s="11">
        <f t="shared" si="3"/>
        <v>0</v>
      </c>
      <c r="L14" s="12">
        <v>43448</v>
      </c>
    </row>
    <row r="15" spans="1:12" x14ac:dyDescent="0.3">
      <c r="A15" s="10" t="s">
        <v>20</v>
      </c>
      <c r="B15">
        <v>22561</v>
      </c>
      <c r="C15" s="11">
        <f t="shared" si="0"/>
        <v>6.32</v>
      </c>
      <c r="D15" s="11">
        <v>21789.3</v>
      </c>
      <c r="E15" s="11">
        <f t="shared" si="1"/>
        <v>2.68</v>
      </c>
      <c r="F15" s="11"/>
      <c r="G15" s="11"/>
      <c r="H15" s="11">
        <v>21386</v>
      </c>
      <c r="I15" s="11">
        <f t="shared" si="2"/>
        <v>0.78</v>
      </c>
      <c r="J15" s="11">
        <v>21225</v>
      </c>
      <c r="K15" s="11">
        <f t="shared" si="3"/>
        <v>0.02</v>
      </c>
      <c r="L15" s="12">
        <v>21220</v>
      </c>
    </row>
    <row r="16" spans="1:12" x14ac:dyDescent="0.3">
      <c r="A16" s="10" t="s">
        <v>21</v>
      </c>
      <c r="B16">
        <v>17905</v>
      </c>
      <c r="C16" s="11">
        <f t="shared" si="0"/>
        <v>6.1</v>
      </c>
      <c r="D16" s="11">
        <v>17137.7</v>
      </c>
      <c r="E16" s="11">
        <f t="shared" si="1"/>
        <v>1.55</v>
      </c>
      <c r="F16" s="11"/>
      <c r="G16" s="11"/>
      <c r="H16" s="11">
        <v>16877.5</v>
      </c>
      <c r="I16" s="11">
        <f t="shared" si="2"/>
        <v>0.01</v>
      </c>
      <c r="J16" s="11">
        <v>16876</v>
      </c>
      <c r="K16" s="11">
        <f t="shared" si="3"/>
        <v>0</v>
      </c>
      <c r="L16" s="12">
        <v>16876</v>
      </c>
    </row>
    <row r="17" spans="1:12" x14ac:dyDescent="0.3">
      <c r="A17" s="10" t="s">
        <v>22</v>
      </c>
      <c r="B17">
        <v>15489</v>
      </c>
      <c r="C17" s="11">
        <f t="shared" si="0"/>
        <v>9.56</v>
      </c>
      <c r="D17" s="11">
        <v>14262.2</v>
      </c>
      <c r="E17" s="11">
        <f t="shared" si="1"/>
        <v>0.88</v>
      </c>
      <c r="F17" s="11"/>
      <c r="G17" s="11"/>
      <c r="H17" s="11">
        <v>14147</v>
      </c>
      <c r="I17" s="11">
        <f t="shared" si="2"/>
        <v>0.06</v>
      </c>
      <c r="J17" s="11">
        <v>14138</v>
      </c>
      <c r="K17" s="11">
        <f t="shared" si="3"/>
        <v>0</v>
      </c>
      <c r="L17" s="12">
        <v>14138</v>
      </c>
    </row>
    <row r="18" spans="1:12" x14ac:dyDescent="0.3">
      <c r="A18" s="10" t="s">
        <v>23</v>
      </c>
      <c r="B18">
        <v>22170</v>
      </c>
      <c r="C18" s="11">
        <f t="shared" si="0"/>
        <v>7.85</v>
      </c>
      <c r="D18" s="11">
        <v>21176.400000000001</v>
      </c>
      <c r="E18" s="11">
        <f t="shared" si="1"/>
        <v>3.01</v>
      </c>
      <c r="F18" s="11"/>
      <c r="G18" s="11"/>
      <c r="H18" s="11">
        <v>20586.900000000001</v>
      </c>
      <c r="I18" s="11">
        <f t="shared" si="2"/>
        <v>0.15</v>
      </c>
      <c r="J18" s="11">
        <v>20557</v>
      </c>
      <c r="K18" s="11">
        <f t="shared" si="3"/>
        <v>0</v>
      </c>
      <c r="L18" s="12">
        <v>20557</v>
      </c>
    </row>
    <row r="19" spans="1:12" x14ac:dyDescent="0.3">
      <c r="A19" s="10" t="s">
        <v>24</v>
      </c>
      <c r="B19">
        <v>48225</v>
      </c>
      <c r="C19" s="11">
        <f t="shared" si="0"/>
        <v>5.74</v>
      </c>
      <c r="D19" s="11">
        <v>46874.9</v>
      </c>
      <c r="E19" s="11">
        <f t="shared" si="1"/>
        <v>2.78</v>
      </c>
      <c r="F19" s="11"/>
      <c r="G19" s="11"/>
      <c r="H19" s="11">
        <v>45802.8</v>
      </c>
      <c r="I19" s="11">
        <f t="shared" si="2"/>
        <v>0.43</v>
      </c>
      <c r="J19" s="11">
        <v>45607</v>
      </c>
      <c r="K19" s="11">
        <f t="shared" si="3"/>
        <v>0</v>
      </c>
      <c r="L19" s="12">
        <v>45607</v>
      </c>
    </row>
    <row r="20" spans="1:12" x14ac:dyDescent="0.3">
      <c r="A20" s="10" t="s">
        <v>25</v>
      </c>
      <c r="B20">
        <v>52559</v>
      </c>
      <c r="C20" s="11">
        <f t="shared" si="0"/>
        <v>9.93</v>
      </c>
      <c r="D20" s="11">
        <v>49260.2</v>
      </c>
      <c r="E20" s="11">
        <f t="shared" si="1"/>
        <v>3.03</v>
      </c>
      <c r="F20" s="11"/>
      <c r="G20" s="11"/>
      <c r="H20" s="11">
        <v>47991.6</v>
      </c>
      <c r="I20" s="11">
        <f t="shared" si="2"/>
        <v>0.38</v>
      </c>
      <c r="J20" s="11">
        <v>47812</v>
      </c>
      <c r="K20" s="11">
        <f t="shared" si="3"/>
        <v>0</v>
      </c>
      <c r="L20" s="12">
        <v>47812</v>
      </c>
    </row>
    <row r="21" spans="1:12" x14ac:dyDescent="0.3">
      <c r="A21" s="10" t="s">
        <v>26</v>
      </c>
      <c r="B21">
        <v>26735</v>
      </c>
      <c r="C21" s="11">
        <f t="shared" si="0"/>
        <v>4.5599999999999996</v>
      </c>
      <c r="D21" s="11">
        <v>25935.599999999999</v>
      </c>
      <c r="E21" s="11">
        <f t="shared" si="1"/>
        <v>1.43</v>
      </c>
      <c r="F21" s="11"/>
      <c r="G21" s="11"/>
      <c r="H21" s="11">
        <v>25602.3</v>
      </c>
      <c r="I21" s="11">
        <f t="shared" si="2"/>
        <v>0.13</v>
      </c>
      <c r="J21" s="11">
        <v>25569</v>
      </c>
      <c r="K21" s="11">
        <f t="shared" si="3"/>
        <v>0</v>
      </c>
      <c r="L21" s="12">
        <v>25569</v>
      </c>
    </row>
    <row r="22" spans="1:12" x14ac:dyDescent="0.3">
      <c r="A22" s="10" t="s">
        <v>27</v>
      </c>
      <c r="B22">
        <v>25566</v>
      </c>
      <c r="C22" s="11">
        <f t="shared" si="0"/>
        <v>5.89</v>
      </c>
      <c r="D22" s="11">
        <v>24908</v>
      </c>
      <c r="E22" s="11">
        <f t="shared" si="1"/>
        <v>3.16</v>
      </c>
      <c r="F22" s="11"/>
      <c r="G22" s="11"/>
      <c r="H22" s="11">
        <v>24178.3</v>
      </c>
      <c r="I22" s="11">
        <f t="shared" si="2"/>
        <v>0.14000000000000001</v>
      </c>
      <c r="J22" s="11">
        <v>24145</v>
      </c>
      <c r="K22" s="11">
        <f t="shared" si="3"/>
        <v>0</v>
      </c>
      <c r="L22" s="12">
        <v>24145</v>
      </c>
    </row>
    <row r="23" spans="1:12" x14ac:dyDescent="0.3">
      <c r="A23" s="10" t="s">
        <v>28</v>
      </c>
      <c r="B23">
        <v>18020</v>
      </c>
      <c r="C23" s="11">
        <f t="shared" si="0"/>
        <v>6.12</v>
      </c>
      <c r="D23" s="11">
        <v>17421.900000000001</v>
      </c>
      <c r="E23" s="11">
        <f t="shared" si="1"/>
        <v>2.6</v>
      </c>
      <c r="F23" s="11"/>
      <c r="G23" s="11"/>
      <c r="H23" s="11">
        <v>17033.5</v>
      </c>
      <c r="I23" s="11">
        <f t="shared" si="2"/>
        <v>0.32</v>
      </c>
      <c r="J23" s="11">
        <v>16983.3</v>
      </c>
      <c r="K23" s="11">
        <f t="shared" si="3"/>
        <v>0.02</v>
      </c>
      <c r="L23" s="12">
        <v>16980</v>
      </c>
    </row>
    <row r="24" spans="1:12" x14ac:dyDescent="0.3">
      <c r="A24" s="10" t="s">
        <v>29</v>
      </c>
      <c r="B24">
        <v>45648</v>
      </c>
      <c r="C24" s="11">
        <f t="shared" si="0"/>
        <v>3.22</v>
      </c>
      <c r="D24" s="11">
        <v>46151.1</v>
      </c>
      <c r="E24" s="11">
        <f t="shared" si="1"/>
        <v>4.3600000000000003</v>
      </c>
      <c r="F24" s="11"/>
      <c r="G24" s="11"/>
      <c r="H24" s="11">
        <v>44427.199999999997</v>
      </c>
      <c r="I24" s="11">
        <f t="shared" si="2"/>
        <v>0.46</v>
      </c>
      <c r="J24" s="11">
        <v>44225</v>
      </c>
      <c r="K24" s="11">
        <f t="shared" si="3"/>
        <v>0</v>
      </c>
      <c r="L24" s="12">
        <v>44225</v>
      </c>
    </row>
    <row r="25" spans="1:12" x14ac:dyDescent="0.3">
      <c r="A25" s="10" t="s">
        <v>30</v>
      </c>
      <c r="B25">
        <v>62118</v>
      </c>
      <c r="C25" s="11">
        <f t="shared" si="0"/>
        <v>6.04</v>
      </c>
      <c r="D25" s="11">
        <v>60447.9</v>
      </c>
      <c r="E25" s="11">
        <f t="shared" si="1"/>
        <v>3.19</v>
      </c>
      <c r="F25" s="11"/>
      <c r="G25" s="11"/>
      <c r="H25" s="11">
        <v>58828</v>
      </c>
      <c r="I25" s="11">
        <f t="shared" si="2"/>
        <v>0.43</v>
      </c>
      <c r="J25" s="11">
        <v>58578</v>
      </c>
      <c r="K25" s="11">
        <f t="shared" si="3"/>
        <v>0</v>
      </c>
      <c r="L25" s="12">
        <v>58578</v>
      </c>
    </row>
    <row r="26" spans="1:12" x14ac:dyDescent="0.3">
      <c r="A26" s="10" t="s">
        <v>31</v>
      </c>
      <c r="B26">
        <v>21260</v>
      </c>
      <c r="C26" s="11">
        <f t="shared" si="0"/>
        <v>8.66</v>
      </c>
      <c r="D26" s="11">
        <v>20348.400000000001</v>
      </c>
      <c r="E26" s="11">
        <f t="shared" si="1"/>
        <v>4</v>
      </c>
      <c r="F26" s="11"/>
      <c r="G26" s="11"/>
      <c r="H26" s="11">
        <v>19621</v>
      </c>
      <c r="I26" s="11">
        <f t="shared" si="2"/>
        <v>0.28999999999999998</v>
      </c>
      <c r="J26" s="11">
        <v>19565</v>
      </c>
      <c r="K26" s="11">
        <f t="shared" si="3"/>
        <v>0</v>
      </c>
      <c r="L26" s="12">
        <v>19565</v>
      </c>
    </row>
    <row r="27" spans="1:12" x14ac:dyDescent="0.3">
      <c r="A27" s="10" t="s">
        <v>32</v>
      </c>
      <c r="B27">
        <v>32510</v>
      </c>
      <c r="C27" s="11">
        <f t="shared" si="0"/>
        <v>6.05</v>
      </c>
      <c r="D27" s="11">
        <v>31775.5</v>
      </c>
      <c r="E27" s="11">
        <f t="shared" si="1"/>
        <v>3.65</v>
      </c>
      <c r="F27" s="11"/>
      <c r="G27" s="11"/>
      <c r="H27" s="11">
        <v>30709.7</v>
      </c>
      <c r="I27" s="11">
        <f t="shared" si="2"/>
        <v>0.18</v>
      </c>
      <c r="J27" s="11">
        <v>30656</v>
      </c>
      <c r="K27" s="11">
        <f t="shared" si="3"/>
        <v>0</v>
      </c>
      <c r="L27" s="12">
        <v>30656</v>
      </c>
    </row>
    <row r="28" spans="1:12" x14ac:dyDescent="0.3">
      <c r="A28" s="10" t="s">
        <v>33</v>
      </c>
      <c r="B28">
        <v>12077</v>
      </c>
      <c r="C28" s="11">
        <f t="shared" si="0"/>
        <v>11.25</v>
      </c>
      <c r="D28" s="11">
        <v>11374</v>
      </c>
      <c r="E28" s="11">
        <f t="shared" si="1"/>
        <v>4.7699999999999996</v>
      </c>
      <c r="F28" s="11"/>
      <c r="G28" s="11"/>
      <c r="H28" s="11">
        <v>10944.3</v>
      </c>
      <c r="I28" s="11">
        <f t="shared" si="2"/>
        <v>0.81</v>
      </c>
      <c r="J28" s="11">
        <v>10860.5</v>
      </c>
      <c r="K28" s="11">
        <f t="shared" si="3"/>
        <v>0.04</v>
      </c>
      <c r="L28" s="12">
        <v>10856</v>
      </c>
    </row>
    <row r="29" spans="1:12" x14ac:dyDescent="0.3">
      <c r="A29" s="10" t="s">
        <v>34</v>
      </c>
      <c r="B29">
        <v>118364</v>
      </c>
      <c r="C29" s="11">
        <f t="shared" si="0"/>
        <v>0.65</v>
      </c>
      <c r="D29" s="11">
        <v>118038</v>
      </c>
      <c r="E29" s="11">
        <f t="shared" si="1"/>
        <v>0.38</v>
      </c>
      <c r="F29" s="11"/>
      <c r="G29" s="11"/>
      <c r="H29" s="11">
        <v>117689.1</v>
      </c>
      <c r="I29" s="11">
        <f t="shared" si="2"/>
        <v>0.08</v>
      </c>
      <c r="J29" s="11">
        <v>117596.1</v>
      </c>
      <c r="K29" s="11">
        <f t="shared" si="3"/>
        <v>0</v>
      </c>
      <c r="L29" s="12">
        <v>117595</v>
      </c>
    </row>
    <row r="30" spans="1:12" x14ac:dyDescent="0.3">
      <c r="A30" s="10" t="s">
        <v>35</v>
      </c>
      <c r="B30">
        <v>42138</v>
      </c>
      <c r="C30" s="11">
        <f t="shared" si="0"/>
        <v>4.21</v>
      </c>
      <c r="D30" s="11">
        <v>42046.6</v>
      </c>
      <c r="E30" s="11">
        <f t="shared" si="1"/>
        <v>3.98</v>
      </c>
      <c r="F30" s="11"/>
      <c r="G30" s="11"/>
      <c r="H30" s="11">
        <v>40714.400000000001</v>
      </c>
      <c r="I30" s="11">
        <f t="shared" si="2"/>
        <v>0.69</v>
      </c>
      <c r="J30" s="11">
        <v>40437</v>
      </c>
      <c r="K30" s="11">
        <f t="shared" si="3"/>
        <v>0</v>
      </c>
      <c r="L30" s="12">
        <v>40437</v>
      </c>
    </row>
    <row r="31" spans="1:12" x14ac:dyDescent="0.3">
      <c r="A31" s="10" t="s">
        <v>36</v>
      </c>
      <c r="B31">
        <v>27170</v>
      </c>
      <c r="C31" s="11">
        <f t="shared" si="0"/>
        <v>5.55</v>
      </c>
      <c r="D31" s="11">
        <v>26613.4</v>
      </c>
      <c r="E31" s="11">
        <f t="shared" si="1"/>
        <v>3.39</v>
      </c>
      <c r="F31" s="11"/>
      <c r="G31" s="11"/>
      <c r="H31" s="11">
        <v>25836.799999999999</v>
      </c>
      <c r="I31" s="11">
        <f t="shared" si="2"/>
        <v>0.37</v>
      </c>
      <c r="J31" s="11">
        <v>25742.799999999999</v>
      </c>
      <c r="K31" s="11">
        <f t="shared" si="3"/>
        <v>0</v>
      </c>
      <c r="L31" s="12">
        <v>25742</v>
      </c>
    </row>
    <row r="32" spans="1:12" x14ac:dyDescent="0.3">
      <c r="A32" s="10" t="s">
        <v>37</v>
      </c>
      <c r="B32">
        <v>20368</v>
      </c>
      <c r="C32" s="11">
        <f t="shared" si="0"/>
        <v>5.92</v>
      </c>
      <c r="D32" s="11">
        <v>19883.900000000001</v>
      </c>
      <c r="E32" s="11">
        <f t="shared" si="1"/>
        <v>3.4</v>
      </c>
      <c r="F32" s="11"/>
      <c r="G32" s="11"/>
      <c r="H32" s="11">
        <v>19328.599999999999</v>
      </c>
      <c r="I32" s="11">
        <f t="shared" si="2"/>
        <v>0.51</v>
      </c>
      <c r="J32" s="11">
        <v>19230</v>
      </c>
      <c r="K32" s="11">
        <f t="shared" si="3"/>
        <v>0</v>
      </c>
      <c r="L32" s="12">
        <v>19230</v>
      </c>
    </row>
    <row r="33" spans="1:12" x14ac:dyDescent="0.3">
      <c r="A33" s="10" t="s">
        <v>38</v>
      </c>
      <c r="B33">
        <v>29837</v>
      </c>
      <c r="C33" s="11">
        <f t="shared" si="0"/>
        <v>10.34</v>
      </c>
      <c r="D33" s="11">
        <v>27927.5</v>
      </c>
      <c r="E33" s="11">
        <f t="shared" si="1"/>
        <v>3.27</v>
      </c>
      <c r="F33" s="11"/>
      <c r="G33" s="11"/>
      <c r="H33" s="11">
        <v>27095.9</v>
      </c>
      <c r="I33" s="11">
        <f t="shared" si="2"/>
        <v>0.2</v>
      </c>
      <c r="J33" s="11">
        <v>27042</v>
      </c>
      <c r="K33" s="11">
        <f t="shared" si="3"/>
        <v>0</v>
      </c>
      <c r="L33" s="12">
        <v>27042</v>
      </c>
    </row>
    <row r="34" spans="1:12" x14ac:dyDescent="0.3">
      <c r="A34" s="10" t="s">
        <v>39</v>
      </c>
      <c r="B34">
        <v>84872</v>
      </c>
      <c r="C34" s="11">
        <f t="shared" si="0"/>
        <v>2.56</v>
      </c>
      <c r="D34" s="11">
        <v>85518</v>
      </c>
      <c r="E34" s="11">
        <f t="shared" si="1"/>
        <v>3.34</v>
      </c>
      <c r="F34" s="11"/>
      <c r="G34" s="11"/>
      <c r="H34" s="11">
        <v>83209.2</v>
      </c>
      <c r="I34" s="11">
        <f t="shared" si="2"/>
        <v>0.55000000000000004</v>
      </c>
      <c r="J34" s="11">
        <v>82806</v>
      </c>
      <c r="K34" s="11">
        <f t="shared" si="3"/>
        <v>7.0000000000000007E-2</v>
      </c>
      <c r="L34" s="12">
        <v>82751</v>
      </c>
    </row>
    <row r="35" spans="1:12" x14ac:dyDescent="0.3">
      <c r="A35" s="10" t="s">
        <v>40</v>
      </c>
      <c r="B35">
        <v>41319</v>
      </c>
      <c r="C35" s="11">
        <f t="shared" si="0"/>
        <v>10.85</v>
      </c>
      <c r="D35" s="11">
        <v>38282.800000000003</v>
      </c>
      <c r="E35" s="11">
        <f t="shared" si="1"/>
        <v>2.71</v>
      </c>
      <c r="F35" s="11"/>
      <c r="G35" s="11"/>
      <c r="H35" s="11">
        <v>37388.400000000001</v>
      </c>
      <c r="I35" s="11">
        <f t="shared" si="2"/>
        <v>0.31</v>
      </c>
      <c r="J35" s="11">
        <v>37277.1</v>
      </c>
      <c r="K35" s="11">
        <f t="shared" si="3"/>
        <v>0.01</v>
      </c>
      <c r="L35" s="12">
        <v>37274</v>
      </c>
    </row>
    <row r="36" spans="1:12" x14ac:dyDescent="0.3">
      <c r="A36" s="10" t="s">
        <v>41</v>
      </c>
      <c r="B36">
        <v>40644</v>
      </c>
      <c r="C36" s="11">
        <f t="shared" si="0"/>
        <v>5.07</v>
      </c>
      <c r="D36" s="11">
        <v>40087.599999999999</v>
      </c>
      <c r="E36" s="11">
        <f t="shared" si="1"/>
        <v>3.63</v>
      </c>
      <c r="F36" s="11"/>
      <c r="G36" s="11"/>
      <c r="H36" s="11">
        <v>38893.300000000003</v>
      </c>
      <c r="I36" s="11">
        <f t="shared" si="2"/>
        <v>0.54</v>
      </c>
      <c r="J36" s="11">
        <v>38689.9</v>
      </c>
      <c r="K36" s="11">
        <f t="shared" si="3"/>
        <v>0.02</v>
      </c>
      <c r="L36" s="12">
        <v>38684</v>
      </c>
    </row>
    <row r="37" spans="1:12" x14ac:dyDescent="0.3">
      <c r="A37" s="10" t="s">
        <v>42</v>
      </c>
      <c r="B37">
        <v>20788</v>
      </c>
      <c r="C37" s="11">
        <f t="shared" si="0"/>
        <v>10.35</v>
      </c>
      <c r="D37" s="11">
        <v>19294.5</v>
      </c>
      <c r="E37" s="11">
        <f t="shared" si="1"/>
        <v>2.42</v>
      </c>
      <c r="F37" s="11"/>
      <c r="G37" s="11"/>
      <c r="H37" s="11">
        <v>18891.599999999999</v>
      </c>
      <c r="I37" s="11">
        <f t="shared" si="2"/>
        <v>0.28000000000000003</v>
      </c>
      <c r="J37" s="11">
        <v>18839.599999999999</v>
      </c>
      <c r="K37" s="11">
        <f t="shared" si="3"/>
        <v>0</v>
      </c>
      <c r="L37" s="12">
        <v>18839</v>
      </c>
    </row>
    <row r="38" spans="1:12" x14ac:dyDescent="0.3">
      <c r="A38" s="10" t="s">
        <v>43</v>
      </c>
      <c r="B38">
        <v>28735</v>
      </c>
      <c r="C38" s="11">
        <f t="shared" si="0"/>
        <v>8.1999999999999993</v>
      </c>
      <c r="D38" s="11">
        <v>27920.6</v>
      </c>
      <c r="E38" s="11">
        <f t="shared" si="1"/>
        <v>5.13</v>
      </c>
      <c r="F38" s="11"/>
      <c r="G38" s="11"/>
      <c r="H38" s="11">
        <v>26717.5</v>
      </c>
      <c r="I38" s="11">
        <f t="shared" si="2"/>
        <v>0.6</v>
      </c>
      <c r="J38" s="11">
        <v>26558.2</v>
      </c>
      <c r="K38" s="11">
        <f t="shared" si="3"/>
        <v>0</v>
      </c>
      <c r="L38" s="12">
        <v>26558</v>
      </c>
    </row>
    <row r="39" spans="1:12" x14ac:dyDescent="0.3">
      <c r="A39" s="10" t="s">
        <v>44</v>
      </c>
      <c r="B39">
        <v>78550</v>
      </c>
      <c r="C39" s="11">
        <f t="shared" si="0"/>
        <v>4.07</v>
      </c>
      <c r="D39" s="11">
        <v>77660.800000000003</v>
      </c>
      <c r="E39" s="11">
        <f t="shared" si="1"/>
        <v>2.89</v>
      </c>
      <c r="F39" s="11"/>
      <c r="G39" s="11"/>
      <c r="H39" s="11">
        <v>75954.600000000006</v>
      </c>
      <c r="I39" s="11">
        <f t="shared" si="2"/>
        <v>0.63</v>
      </c>
      <c r="J39" s="11">
        <v>75564.7</v>
      </c>
      <c r="K39" s="11">
        <f t="shared" si="3"/>
        <v>0.11</v>
      </c>
      <c r="L39" s="12">
        <v>75478</v>
      </c>
    </row>
    <row r="40" spans="1:12" x14ac:dyDescent="0.3">
      <c r="A40" s="10" t="s">
        <v>45</v>
      </c>
      <c r="B40">
        <v>37148</v>
      </c>
      <c r="C40" s="11">
        <f t="shared" si="0"/>
        <v>5.26</v>
      </c>
      <c r="D40" s="11">
        <v>36700.5</v>
      </c>
      <c r="E40" s="11">
        <f t="shared" si="1"/>
        <v>3.99</v>
      </c>
      <c r="F40" s="11"/>
      <c r="G40" s="11"/>
      <c r="H40" s="11">
        <v>35462.1</v>
      </c>
      <c r="I40" s="11">
        <f t="shared" si="2"/>
        <v>0.48</v>
      </c>
      <c r="J40" s="11">
        <v>35303</v>
      </c>
      <c r="K40" s="11">
        <f t="shared" si="3"/>
        <v>0.03</v>
      </c>
      <c r="L40" s="12">
        <v>35291</v>
      </c>
    </row>
    <row r="41" spans="1:12" x14ac:dyDescent="0.3">
      <c r="A41" s="10" t="s">
        <v>46</v>
      </c>
      <c r="B41">
        <v>22471</v>
      </c>
      <c r="C41" s="11">
        <f t="shared" si="0"/>
        <v>5.77</v>
      </c>
      <c r="D41" s="11">
        <v>22087.3</v>
      </c>
      <c r="E41" s="11">
        <f t="shared" si="1"/>
        <v>3.96</v>
      </c>
      <c r="F41" s="11"/>
      <c r="G41" s="11"/>
      <c r="H41" s="11">
        <v>21299.4</v>
      </c>
      <c r="I41" s="11">
        <f t="shared" si="2"/>
        <v>0.26</v>
      </c>
      <c r="J41" s="11">
        <v>21245</v>
      </c>
      <c r="K41" s="11">
        <f t="shared" si="3"/>
        <v>0</v>
      </c>
      <c r="L41" s="12">
        <v>21245</v>
      </c>
    </row>
    <row r="42" spans="1:12" x14ac:dyDescent="0.3">
      <c r="A42" s="10" t="s">
        <v>47</v>
      </c>
      <c r="B42">
        <v>36281</v>
      </c>
      <c r="C42" s="11">
        <f t="shared" si="0"/>
        <v>8.2899999999999991</v>
      </c>
      <c r="D42" s="11">
        <v>35055.599999999999</v>
      </c>
      <c r="E42" s="11">
        <f t="shared" si="1"/>
        <v>4.63</v>
      </c>
      <c r="F42" s="11"/>
      <c r="G42" s="11"/>
      <c r="H42" s="11">
        <v>33670.1</v>
      </c>
      <c r="I42" s="11">
        <f t="shared" si="2"/>
        <v>0.5</v>
      </c>
      <c r="J42" s="11">
        <v>33543.199999999997</v>
      </c>
      <c r="K42" s="11">
        <f t="shared" si="3"/>
        <v>0.12</v>
      </c>
      <c r="L42" s="12">
        <v>33503</v>
      </c>
    </row>
    <row r="43" spans="1:12" x14ac:dyDescent="0.3">
      <c r="A43" s="10" t="s">
        <v>48</v>
      </c>
      <c r="B43">
        <v>22218</v>
      </c>
      <c r="C43" s="11">
        <f t="shared" si="0"/>
        <v>9.91</v>
      </c>
      <c r="D43" s="11">
        <v>21137.9</v>
      </c>
      <c r="E43" s="11">
        <f t="shared" si="1"/>
        <v>4.57</v>
      </c>
      <c r="F43" s="11"/>
      <c r="G43" s="11"/>
      <c r="H43" s="11">
        <v>20360</v>
      </c>
      <c r="I43" s="11">
        <f t="shared" si="2"/>
        <v>0.72</v>
      </c>
      <c r="J43" s="11">
        <v>20245.5</v>
      </c>
      <c r="K43" s="11">
        <f t="shared" si="3"/>
        <v>0.15</v>
      </c>
      <c r="L43" s="12">
        <v>20215</v>
      </c>
    </row>
    <row r="44" spans="1:12" x14ac:dyDescent="0.3">
      <c r="A44" s="10" t="s">
        <v>49</v>
      </c>
      <c r="B44">
        <v>98219</v>
      </c>
      <c r="C44" s="11">
        <f t="shared" si="0"/>
        <v>3.22</v>
      </c>
      <c r="D44" s="11">
        <v>98560.9</v>
      </c>
      <c r="E44" s="11">
        <f t="shared" si="1"/>
        <v>3.58</v>
      </c>
      <c r="F44" s="11"/>
      <c r="G44" s="11"/>
      <c r="H44" s="11">
        <v>95882.8</v>
      </c>
      <c r="I44" s="11">
        <f t="shared" si="2"/>
        <v>0.77</v>
      </c>
      <c r="J44" s="11">
        <v>95300.9</v>
      </c>
      <c r="K44" s="11">
        <f t="shared" si="3"/>
        <v>0.16</v>
      </c>
      <c r="L44" s="12">
        <v>95151</v>
      </c>
    </row>
    <row r="45" spans="1:12" x14ac:dyDescent="0.3">
      <c r="A45" s="10" t="s">
        <v>50</v>
      </c>
      <c r="B45">
        <v>48474</v>
      </c>
      <c r="C45" s="11">
        <f t="shared" si="0"/>
        <v>2.78</v>
      </c>
      <c r="D45" s="11">
        <v>49301.8</v>
      </c>
      <c r="E45" s="11">
        <f t="shared" si="1"/>
        <v>4.54</v>
      </c>
      <c r="F45" s="11"/>
      <c r="G45" s="11"/>
      <c r="H45" s="11">
        <v>47454.1</v>
      </c>
      <c r="I45" s="11">
        <f t="shared" si="2"/>
        <v>0.62</v>
      </c>
      <c r="J45" s="11">
        <v>47184.1</v>
      </c>
      <c r="K45" s="11">
        <f t="shared" si="3"/>
        <v>0.05</v>
      </c>
      <c r="L45" s="12">
        <v>47161</v>
      </c>
    </row>
    <row r="46" spans="1:12" x14ac:dyDescent="0.3">
      <c r="A46" s="10" t="s">
        <v>51</v>
      </c>
      <c r="B46">
        <v>36124</v>
      </c>
      <c r="C46" s="11">
        <f t="shared" si="0"/>
        <v>5.53</v>
      </c>
      <c r="D46" s="11">
        <v>36970.5</v>
      </c>
      <c r="E46" s="11">
        <f t="shared" si="1"/>
        <v>8</v>
      </c>
      <c r="F46" s="11"/>
      <c r="G46" s="11"/>
      <c r="H46" s="11">
        <v>34377.4</v>
      </c>
      <c r="I46" s="11">
        <f t="shared" si="2"/>
        <v>0.43</v>
      </c>
      <c r="J46" s="11">
        <v>34234.800000000003</v>
      </c>
      <c r="K46" s="11">
        <f t="shared" si="3"/>
        <v>0.01</v>
      </c>
      <c r="L46" s="12">
        <v>34231</v>
      </c>
    </row>
    <row r="47" spans="1:12" x14ac:dyDescent="0.3">
      <c r="A47" s="10" t="s">
        <v>52</v>
      </c>
      <c r="B47">
        <v>23640</v>
      </c>
      <c r="C47" s="11">
        <f t="shared" si="0"/>
        <v>8.76</v>
      </c>
      <c r="D47" s="11">
        <v>22573.7</v>
      </c>
      <c r="E47" s="11">
        <f t="shared" si="1"/>
        <v>3.85</v>
      </c>
      <c r="F47" s="11"/>
      <c r="G47" s="11"/>
      <c r="H47" s="11">
        <v>21903.4</v>
      </c>
      <c r="I47" s="11">
        <f t="shared" si="2"/>
        <v>0.77</v>
      </c>
      <c r="J47" s="11">
        <v>21748.5</v>
      </c>
      <c r="K47" s="11">
        <f t="shared" si="3"/>
        <v>0.06</v>
      </c>
      <c r="L47" s="12">
        <v>21736</v>
      </c>
    </row>
    <row r="48" spans="1:12" x14ac:dyDescent="0.3">
      <c r="A48" s="10" t="s">
        <v>53</v>
      </c>
      <c r="B48">
        <v>28414</v>
      </c>
      <c r="C48" s="11">
        <f t="shared" si="0"/>
        <v>9.8800000000000008</v>
      </c>
      <c r="D48" s="11">
        <v>27141.4</v>
      </c>
      <c r="E48" s="11">
        <f t="shared" si="1"/>
        <v>4.96</v>
      </c>
      <c r="F48" s="11"/>
      <c r="G48" s="11"/>
      <c r="H48" s="11">
        <v>26076.400000000001</v>
      </c>
      <c r="I48" s="11">
        <f t="shared" si="2"/>
        <v>0.84</v>
      </c>
      <c r="J48" s="11">
        <v>25870.799999999999</v>
      </c>
      <c r="K48" s="11">
        <f t="shared" si="3"/>
        <v>0.05</v>
      </c>
      <c r="L48" s="12">
        <v>25859</v>
      </c>
    </row>
    <row r="49" spans="1:12" x14ac:dyDescent="0.3">
      <c r="A49" s="10" t="s">
        <v>54</v>
      </c>
      <c r="B49">
        <v>97814</v>
      </c>
      <c r="C49" s="11">
        <f t="shared" si="0"/>
        <v>4.01</v>
      </c>
      <c r="D49" s="11">
        <v>97497.4</v>
      </c>
      <c r="E49" s="11">
        <f t="shared" si="1"/>
        <v>3.67</v>
      </c>
      <c r="F49" s="11"/>
      <c r="G49" s="11"/>
      <c r="H49" s="11">
        <v>94763.8</v>
      </c>
      <c r="I49" s="11">
        <f t="shared" si="2"/>
        <v>0.77</v>
      </c>
      <c r="J49" s="11">
        <v>94112.2</v>
      </c>
      <c r="K49" s="11">
        <f t="shared" si="3"/>
        <v>7.0000000000000007E-2</v>
      </c>
      <c r="L49" s="12">
        <v>94043</v>
      </c>
    </row>
    <row r="50" spans="1:12" x14ac:dyDescent="0.3">
      <c r="A50" s="10" t="s">
        <v>55</v>
      </c>
      <c r="B50">
        <v>79651</v>
      </c>
      <c r="C50" s="11">
        <f t="shared" si="0"/>
        <v>1.65</v>
      </c>
      <c r="D50" s="11">
        <v>79211</v>
      </c>
      <c r="E50" s="11">
        <f t="shared" si="1"/>
        <v>1.0900000000000001</v>
      </c>
      <c r="F50" s="11"/>
      <c r="G50" s="11"/>
      <c r="H50" s="11">
        <v>78413.5</v>
      </c>
      <c r="I50" s="11">
        <f t="shared" si="2"/>
        <v>7.0000000000000007E-2</v>
      </c>
      <c r="J50" s="11">
        <v>78355.399999999994</v>
      </c>
      <c r="K50" s="11">
        <f t="shared" si="3"/>
        <v>0</v>
      </c>
      <c r="L50" s="12">
        <v>78355</v>
      </c>
    </row>
    <row r="51" spans="1:12" x14ac:dyDescent="0.3">
      <c r="A51" s="10" t="s">
        <v>56</v>
      </c>
      <c r="B51">
        <v>31751</v>
      </c>
      <c r="C51" s="11">
        <f t="shared" si="0"/>
        <v>6.43</v>
      </c>
      <c r="D51" s="11">
        <v>31488.5</v>
      </c>
      <c r="E51" s="11">
        <f t="shared" si="1"/>
        <v>5.55</v>
      </c>
      <c r="F51" s="11"/>
      <c r="G51" s="11"/>
      <c r="H51" s="11">
        <v>30038</v>
      </c>
      <c r="I51" s="11">
        <f t="shared" si="2"/>
        <v>0.68</v>
      </c>
      <c r="J51" s="11">
        <v>29848.7</v>
      </c>
      <c r="K51" s="11">
        <f t="shared" si="3"/>
        <v>0.05</v>
      </c>
      <c r="L51" s="12">
        <v>29834</v>
      </c>
    </row>
    <row r="52" spans="1:12" x14ac:dyDescent="0.3">
      <c r="A52" s="10" t="s">
        <v>57</v>
      </c>
      <c r="B52">
        <v>29920</v>
      </c>
      <c r="C52" s="11">
        <f t="shared" si="0"/>
        <v>8.67</v>
      </c>
      <c r="D52" s="11">
        <v>28777.599999999999</v>
      </c>
      <c r="E52" s="11">
        <f t="shared" si="1"/>
        <v>4.5199999999999996</v>
      </c>
      <c r="F52" s="11"/>
      <c r="G52" s="11"/>
      <c r="H52" s="11">
        <v>27646.799999999999</v>
      </c>
      <c r="I52" s="11">
        <f t="shared" si="2"/>
        <v>0.42</v>
      </c>
      <c r="J52" s="11">
        <v>27540.799999999999</v>
      </c>
      <c r="K52" s="11">
        <f t="shared" si="3"/>
        <v>0.03</v>
      </c>
      <c r="L52" s="12">
        <v>27532</v>
      </c>
    </row>
    <row r="53" spans="1:12" x14ac:dyDescent="0.3">
      <c r="A53" s="10" t="s">
        <v>58</v>
      </c>
      <c r="B53">
        <v>33858</v>
      </c>
      <c r="C53" s="11">
        <f t="shared" si="0"/>
        <v>8.86</v>
      </c>
      <c r="D53" s="11">
        <v>32648.2</v>
      </c>
      <c r="E53" s="11">
        <f t="shared" si="1"/>
        <v>4.97</v>
      </c>
      <c r="F53" s="11"/>
      <c r="G53" s="11"/>
      <c r="H53" s="11">
        <v>31200.1</v>
      </c>
      <c r="I53" s="11">
        <f t="shared" si="2"/>
        <v>0.32</v>
      </c>
      <c r="J53" s="11">
        <v>31103</v>
      </c>
      <c r="K53" s="11">
        <f t="shared" si="3"/>
        <v>0</v>
      </c>
      <c r="L53" s="12">
        <v>31102</v>
      </c>
    </row>
    <row r="54" spans="1:12" x14ac:dyDescent="0.3">
      <c r="A54" s="10" t="s">
        <v>59</v>
      </c>
      <c r="B54">
        <v>144890</v>
      </c>
      <c r="C54" s="11">
        <f t="shared" si="0"/>
        <v>4.1500000000000004</v>
      </c>
      <c r="D54" s="11">
        <v>143294.79999999999</v>
      </c>
      <c r="E54" s="11">
        <f t="shared" si="1"/>
        <v>3.01</v>
      </c>
      <c r="F54" s="11"/>
      <c r="G54" s="11"/>
      <c r="H54" s="11">
        <v>140831.29999999999</v>
      </c>
      <c r="I54" s="11">
        <f t="shared" si="2"/>
        <v>1.24</v>
      </c>
      <c r="J54" s="11">
        <v>139273.5</v>
      </c>
      <c r="K54" s="11">
        <f t="shared" si="3"/>
        <v>0.12</v>
      </c>
      <c r="L54" s="12">
        <v>139111</v>
      </c>
    </row>
    <row r="55" spans="1:12" x14ac:dyDescent="0.3">
      <c r="A55" s="10" t="s">
        <v>60</v>
      </c>
      <c r="B55">
        <v>44599</v>
      </c>
      <c r="C55" s="11">
        <f t="shared" si="0"/>
        <v>6.06</v>
      </c>
      <c r="D55" s="11">
        <v>44036.4</v>
      </c>
      <c r="E55" s="11">
        <f t="shared" si="1"/>
        <v>4.72</v>
      </c>
      <c r="F55" s="11"/>
      <c r="G55" s="11"/>
      <c r="H55" s="11">
        <v>42350.5</v>
      </c>
      <c r="I55" s="11">
        <f t="shared" si="2"/>
        <v>0.71</v>
      </c>
      <c r="J55" s="11">
        <v>42075.6</v>
      </c>
      <c r="K55" s="11">
        <f t="shared" si="3"/>
        <v>0.06</v>
      </c>
      <c r="L55" s="12">
        <v>42050</v>
      </c>
    </row>
    <row r="56" spans="1:12" x14ac:dyDescent="0.3">
      <c r="A56" s="10" t="s">
        <v>61</v>
      </c>
      <c r="B56">
        <v>26990</v>
      </c>
      <c r="C56" s="11">
        <f t="shared" si="0"/>
        <v>4.22</v>
      </c>
      <c r="D56" s="11">
        <v>27433.599999999999</v>
      </c>
      <c r="E56" s="11">
        <f t="shared" si="1"/>
        <v>5.94</v>
      </c>
      <c r="F56" s="11"/>
      <c r="G56" s="11"/>
      <c r="H56" s="11">
        <v>26190.7</v>
      </c>
      <c r="I56" s="11">
        <f t="shared" si="2"/>
        <v>1.1399999999999999</v>
      </c>
      <c r="J56" s="11">
        <v>25943.599999999999</v>
      </c>
      <c r="K56" s="11">
        <f t="shared" si="3"/>
        <v>0.18</v>
      </c>
      <c r="L56" s="12">
        <v>25896</v>
      </c>
    </row>
    <row r="57" spans="1:12" x14ac:dyDescent="0.3">
      <c r="A57" s="10" t="s">
        <v>62</v>
      </c>
      <c r="B57">
        <v>53615</v>
      </c>
      <c r="C57" s="11">
        <f t="shared" si="0"/>
        <v>4.0999999999999996</v>
      </c>
      <c r="D57" s="11">
        <v>53858.400000000001</v>
      </c>
      <c r="E57" s="11">
        <f t="shared" si="1"/>
        <v>4.57</v>
      </c>
      <c r="F57" s="11"/>
      <c r="G57" s="11"/>
      <c r="H57" s="11">
        <v>51901.3</v>
      </c>
      <c r="I57" s="11">
        <f t="shared" si="2"/>
        <v>0.77</v>
      </c>
      <c r="J57" s="11">
        <v>51620</v>
      </c>
      <c r="K57" s="11">
        <f t="shared" si="3"/>
        <v>0.22</v>
      </c>
      <c r="L57" s="12">
        <v>51505</v>
      </c>
    </row>
    <row r="58" spans="1:12" x14ac:dyDescent="0.3">
      <c r="A58" s="10" t="s">
        <v>63</v>
      </c>
      <c r="B58">
        <v>25255</v>
      </c>
      <c r="C58" s="11">
        <f t="shared" si="0"/>
        <v>10.7</v>
      </c>
      <c r="D58" s="11">
        <v>23874</v>
      </c>
      <c r="E58" s="11">
        <f t="shared" si="1"/>
        <v>4.6500000000000004</v>
      </c>
      <c r="F58" s="11"/>
      <c r="G58" s="11"/>
      <c r="H58" s="11">
        <v>22944.7</v>
      </c>
      <c r="I58" s="11">
        <f t="shared" si="2"/>
        <v>0.56999999999999995</v>
      </c>
      <c r="J58" s="11">
        <v>22814</v>
      </c>
      <c r="K58" s="11">
        <f t="shared" si="3"/>
        <v>0</v>
      </c>
      <c r="L58" s="12">
        <v>22814</v>
      </c>
    </row>
    <row r="59" spans="1:12" x14ac:dyDescent="0.3">
      <c r="A59" s="10" t="s">
        <v>64</v>
      </c>
      <c r="B59">
        <v>149358</v>
      </c>
      <c r="C59" s="11">
        <f t="shared" si="0"/>
        <v>1.1100000000000001</v>
      </c>
      <c r="D59" s="11">
        <v>148775.70000000001</v>
      </c>
      <c r="E59" s="11">
        <f t="shared" si="1"/>
        <v>0.72</v>
      </c>
      <c r="F59" s="11"/>
      <c r="G59" s="11"/>
      <c r="H59" s="11">
        <v>147854.1</v>
      </c>
      <c r="I59" s="11">
        <f t="shared" si="2"/>
        <v>0.1</v>
      </c>
      <c r="J59" s="11">
        <v>147714.5</v>
      </c>
      <c r="K59" s="11">
        <f t="shared" si="3"/>
        <v>0</v>
      </c>
      <c r="L59" s="12">
        <v>147713</v>
      </c>
    </row>
    <row r="60" spans="1:12" x14ac:dyDescent="0.3">
      <c r="A60" s="10" t="s">
        <v>65</v>
      </c>
      <c r="B60">
        <v>69271</v>
      </c>
      <c r="C60" s="11">
        <f t="shared" si="0"/>
        <v>5.07</v>
      </c>
      <c r="D60" s="11">
        <v>69022</v>
      </c>
      <c r="E60" s="11">
        <f t="shared" si="1"/>
        <v>4.6900000000000004</v>
      </c>
      <c r="F60" s="11"/>
      <c r="G60" s="11"/>
      <c r="H60" s="11">
        <v>66443</v>
      </c>
      <c r="I60" s="11">
        <f t="shared" si="2"/>
        <v>0.78</v>
      </c>
      <c r="J60" s="11">
        <v>66049.100000000006</v>
      </c>
      <c r="K60" s="11">
        <f t="shared" si="3"/>
        <v>0.18</v>
      </c>
      <c r="L60" s="12">
        <v>65928</v>
      </c>
    </row>
    <row r="61" spans="1:12" x14ac:dyDescent="0.3">
      <c r="A61" s="10" t="s">
        <v>66</v>
      </c>
      <c r="B61">
        <v>40773</v>
      </c>
      <c r="C61" s="11">
        <f t="shared" si="0"/>
        <v>6.57</v>
      </c>
      <c r="D61" s="11">
        <v>40785.599999999999</v>
      </c>
      <c r="E61" s="11">
        <f t="shared" si="1"/>
        <v>6.6</v>
      </c>
      <c r="F61" s="11"/>
      <c r="G61" s="11"/>
      <c r="H61" s="11">
        <v>38466.400000000001</v>
      </c>
      <c r="I61" s="11">
        <f t="shared" si="2"/>
        <v>0.54</v>
      </c>
      <c r="J61" s="11">
        <v>38260</v>
      </c>
      <c r="K61" s="11">
        <f t="shared" si="3"/>
        <v>0</v>
      </c>
      <c r="L61" s="12">
        <v>38260</v>
      </c>
    </row>
    <row r="62" spans="1:12" x14ac:dyDescent="0.3">
      <c r="A62" s="10" t="s">
        <v>67</v>
      </c>
      <c r="B62">
        <v>68673</v>
      </c>
      <c r="C62" s="11">
        <f t="shared" si="0"/>
        <v>3.81</v>
      </c>
      <c r="D62" s="11">
        <v>68249.2</v>
      </c>
      <c r="E62" s="11">
        <f t="shared" si="1"/>
        <v>3.17</v>
      </c>
      <c r="F62" s="11"/>
      <c r="G62" s="11"/>
      <c r="H62" s="11">
        <v>66501.899999999994</v>
      </c>
      <c r="I62" s="11">
        <f t="shared" si="2"/>
        <v>0.53</v>
      </c>
      <c r="J62" s="11">
        <v>66252.5</v>
      </c>
      <c r="K62" s="11">
        <f t="shared" si="3"/>
        <v>0.15</v>
      </c>
      <c r="L62" s="12">
        <v>66154</v>
      </c>
    </row>
    <row r="63" spans="1:12" x14ac:dyDescent="0.3">
      <c r="A63" s="10" t="s">
        <v>68</v>
      </c>
      <c r="B63">
        <v>22057</v>
      </c>
      <c r="C63" s="11">
        <f t="shared" si="0"/>
        <v>11.9</v>
      </c>
      <c r="D63" s="11">
        <v>20810.599999999999</v>
      </c>
      <c r="E63" s="11">
        <f t="shared" si="1"/>
        <v>5.57</v>
      </c>
      <c r="F63" s="11"/>
      <c r="G63" s="11"/>
      <c r="H63" s="11">
        <v>19924.8</v>
      </c>
      <c r="I63" s="11">
        <f t="shared" si="2"/>
        <v>1.08</v>
      </c>
      <c r="J63" s="11">
        <v>19720.3</v>
      </c>
      <c r="K63" s="11">
        <f t="shared" si="3"/>
        <v>0.04</v>
      </c>
      <c r="L63" s="12">
        <v>19712</v>
      </c>
    </row>
    <row r="64" spans="1:12" x14ac:dyDescent="0.3">
      <c r="A64" s="10" t="s">
        <v>69</v>
      </c>
      <c r="B64">
        <v>112713</v>
      </c>
      <c r="C64" s="11">
        <f t="shared" si="0"/>
        <v>4.5599999999999996</v>
      </c>
      <c r="D64" s="11">
        <v>111594</v>
      </c>
      <c r="E64" s="11">
        <f t="shared" si="1"/>
        <v>3.52</v>
      </c>
      <c r="F64" s="11"/>
      <c r="G64" s="11"/>
      <c r="H64" s="11">
        <v>108295.3</v>
      </c>
      <c r="I64" s="11">
        <f t="shared" si="2"/>
        <v>0.46</v>
      </c>
      <c r="J64" s="11">
        <v>107839.8</v>
      </c>
      <c r="K64" s="11">
        <f t="shared" si="3"/>
        <v>0.04</v>
      </c>
      <c r="L64" s="12">
        <v>107798</v>
      </c>
    </row>
    <row r="65" spans="1:12" x14ac:dyDescent="0.3">
      <c r="A65" s="10" t="s">
        <v>70</v>
      </c>
      <c r="B65">
        <v>68598</v>
      </c>
      <c r="C65" s="11">
        <f t="shared" si="0"/>
        <v>4.8099999999999996</v>
      </c>
      <c r="D65" s="11">
        <v>68858.399999999994</v>
      </c>
      <c r="E65" s="11">
        <f t="shared" si="1"/>
        <v>5.21</v>
      </c>
      <c r="F65" s="11"/>
      <c r="G65" s="11"/>
      <c r="H65" s="11">
        <v>65857.5</v>
      </c>
      <c r="I65" s="11">
        <f t="shared" si="2"/>
        <v>0.62</v>
      </c>
      <c r="J65" s="11">
        <v>65502.7</v>
      </c>
      <c r="K65" s="11">
        <f t="shared" si="3"/>
        <v>0.08</v>
      </c>
      <c r="L65" s="12">
        <v>65449</v>
      </c>
    </row>
    <row r="66" spans="1:12" x14ac:dyDescent="0.3">
      <c r="A66" s="10" t="s">
        <v>71</v>
      </c>
      <c r="B66">
        <v>38773</v>
      </c>
      <c r="C66" s="11">
        <f t="shared" si="0"/>
        <v>6.55</v>
      </c>
      <c r="D66" s="11">
        <v>37655.300000000003</v>
      </c>
      <c r="E66" s="11">
        <f t="shared" si="1"/>
        <v>3.47</v>
      </c>
      <c r="F66" s="11"/>
      <c r="G66" s="11"/>
      <c r="H66" s="11">
        <v>36483.800000000003</v>
      </c>
      <c r="I66" s="11">
        <f t="shared" si="2"/>
        <v>0.26</v>
      </c>
      <c r="J66" s="11">
        <v>36395.5</v>
      </c>
      <c r="K66" s="11">
        <f t="shared" si="3"/>
        <v>0.01</v>
      </c>
      <c r="L66" s="12">
        <v>36391</v>
      </c>
    </row>
    <row r="67" spans="1:12" x14ac:dyDescent="0.3">
      <c r="A67" s="10" t="s">
        <v>72</v>
      </c>
      <c r="B67">
        <v>58475</v>
      </c>
      <c r="C67" s="11">
        <f t="shared" si="0"/>
        <v>5.87</v>
      </c>
      <c r="D67" s="11">
        <v>58427.1</v>
      </c>
      <c r="E67" s="11">
        <f t="shared" si="1"/>
        <v>5.78</v>
      </c>
      <c r="F67" s="11"/>
      <c r="G67" s="11"/>
      <c r="H67" s="11">
        <v>55770.7</v>
      </c>
      <c r="I67" s="11">
        <f t="shared" si="2"/>
        <v>0.97</v>
      </c>
      <c r="J67" s="11">
        <v>55368.5</v>
      </c>
      <c r="K67" s="11">
        <f t="shared" si="3"/>
        <v>0.25</v>
      </c>
      <c r="L67" s="12">
        <v>55233</v>
      </c>
    </row>
    <row r="68" spans="1:12" x14ac:dyDescent="0.3">
      <c r="A68" s="10" t="s">
        <v>73</v>
      </c>
      <c r="B68">
        <v>26046</v>
      </c>
      <c r="C68" s="11">
        <f t="shared" ref="C68:C102" si="4">ROUND(MAX(0, (B68-L68)/L68*100), 2)</f>
        <v>7.9</v>
      </c>
      <c r="D68" s="11">
        <v>25834.9</v>
      </c>
      <c r="E68" s="11">
        <f t="shared" ref="E68:E102" si="5">ROUND(MAX(0, (D68-L68)/L68*100), 2)</f>
        <v>7.03</v>
      </c>
      <c r="F68" s="11"/>
      <c r="G68" s="11"/>
      <c r="H68" s="11">
        <v>24251</v>
      </c>
      <c r="I68" s="11">
        <f t="shared" ref="I68:I102" si="6">ROUND(MAX(0, (H68-L68)/L68*100), 2)</f>
        <v>0.46</v>
      </c>
      <c r="J68" s="11">
        <v>24163.8</v>
      </c>
      <c r="K68" s="11">
        <f t="shared" ref="K68:K102" si="7">ROUND(MAX(0, (J68-L68)/L68*100), 2)</f>
        <v>0.1</v>
      </c>
      <c r="L68" s="12">
        <v>24139</v>
      </c>
    </row>
    <row r="69" spans="1:12" x14ac:dyDescent="0.3">
      <c r="A69" s="10" t="s">
        <v>74</v>
      </c>
      <c r="B69">
        <v>235402</v>
      </c>
      <c r="C69" s="11">
        <f t="shared" si="4"/>
        <v>6.12</v>
      </c>
      <c r="D69" s="11">
        <v>230963.3</v>
      </c>
      <c r="E69" s="11">
        <f t="shared" si="5"/>
        <v>4.12</v>
      </c>
      <c r="F69" s="11"/>
      <c r="G69" s="11"/>
      <c r="H69" s="11">
        <v>223468</v>
      </c>
      <c r="I69" s="11">
        <f t="shared" si="6"/>
        <v>0.74</v>
      </c>
      <c r="J69" s="11">
        <v>222170.1</v>
      </c>
      <c r="K69" s="11">
        <f t="shared" si="7"/>
        <v>0.16</v>
      </c>
      <c r="L69" s="12">
        <v>221824</v>
      </c>
    </row>
    <row r="70" spans="1:12" x14ac:dyDescent="0.3">
      <c r="A70" s="10" t="s">
        <v>75</v>
      </c>
      <c r="B70">
        <v>93316</v>
      </c>
      <c r="C70" s="11">
        <f t="shared" si="4"/>
        <v>4.32</v>
      </c>
      <c r="D70" s="11">
        <v>92923</v>
      </c>
      <c r="E70" s="11">
        <f t="shared" si="5"/>
        <v>3.88</v>
      </c>
      <c r="F70" s="11"/>
      <c r="G70" s="11"/>
      <c r="H70" s="11">
        <v>89986.3</v>
      </c>
      <c r="I70" s="11">
        <f t="shared" si="6"/>
        <v>0.6</v>
      </c>
      <c r="J70" s="11">
        <v>89524.4</v>
      </c>
      <c r="K70" s="11">
        <f t="shared" si="7"/>
        <v>0.08</v>
      </c>
      <c r="L70" s="12">
        <v>89449</v>
      </c>
    </row>
    <row r="71" spans="1:12" x14ac:dyDescent="0.3">
      <c r="A71" s="10" t="s">
        <v>76</v>
      </c>
      <c r="B71">
        <v>69433</v>
      </c>
      <c r="C71" s="11">
        <f t="shared" si="4"/>
        <v>4.4400000000000004</v>
      </c>
      <c r="D71" s="11">
        <v>70817.2</v>
      </c>
      <c r="E71" s="11">
        <f t="shared" si="5"/>
        <v>6.52</v>
      </c>
      <c r="F71" s="11"/>
      <c r="G71" s="11"/>
      <c r="H71" s="11">
        <v>67145.600000000006</v>
      </c>
      <c r="I71" s="11">
        <f t="shared" si="6"/>
        <v>1</v>
      </c>
      <c r="J71" s="11">
        <v>66641.5</v>
      </c>
      <c r="K71" s="11">
        <f t="shared" si="7"/>
        <v>0.24</v>
      </c>
      <c r="L71" s="12">
        <v>66483</v>
      </c>
    </row>
    <row r="72" spans="1:12" x14ac:dyDescent="0.3">
      <c r="A72" s="10" t="s">
        <v>77</v>
      </c>
      <c r="B72">
        <v>71445</v>
      </c>
      <c r="C72" s="11">
        <f t="shared" si="4"/>
        <v>3.21</v>
      </c>
      <c r="D72" s="11">
        <v>70166.5</v>
      </c>
      <c r="E72" s="11">
        <f t="shared" si="5"/>
        <v>1.36</v>
      </c>
      <c r="F72" s="11"/>
      <c r="G72" s="11"/>
      <c r="H72" s="11">
        <v>69333.899999999994</v>
      </c>
      <c r="I72" s="11">
        <f t="shared" si="6"/>
        <v>0.16</v>
      </c>
      <c r="J72" s="11">
        <v>69239.5</v>
      </c>
      <c r="K72" s="11">
        <f t="shared" si="7"/>
        <v>0.02</v>
      </c>
      <c r="L72" s="12">
        <v>69226</v>
      </c>
    </row>
    <row r="73" spans="1:12" x14ac:dyDescent="0.3">
      <c r="A73" s="10" t="s">
        <v>78</v>
      </c>
      <c r="B73">
        <v>27312</v>
      </c>
      <c r="C73" s="11">
        <f t="shared" si="4"/>
        <v>12.85</v>
      </c>
      <c r="D73" s="11">
        <v>25845.9</v>
      </c>
      <c r="E73" s="11">
        <f t="shared" si="5"/>
        <v>6.8</v>
      </c>
      <c r="F73" s="11"/>
      <c r="G73" s="11"/>
      <c r="H73" s="11">
        <v>24360.7</v>
      </c>
      <c r="I73" s="11">
        <f t="shared" si="6"/>
        <v>0.66</v>
      </c>
      <c r="J73" s="11">
        <v>24201</v>
      </c>
      <c r="K73" s="11">
        <f t="shared" si="7"/>
        <v>0</v>
      </c>
      <c r="L73" s="12">
        <v>24201</v>
      </c>
    </row>
    <row r="74" spans="1:12" x14ac:dyDescent="0.3">
      <c r="A74" s="10" t="s">
        <v>79</v>
      </c>
      <c r="B74">
        <v>163352</v>
      </c>
      <c r="C74" s="11">
        <f t="shared" si="4"/>
        <v>5.67</v>
      </c>
      <c r="D74" s="11">
        <v>156897</v>
      </c>
      <c r="E74" s="11">
        <f t="shared" si="5"/>
        <v>1.49</v>
      </c>
      <c r="F74" s="11"/>
      <c r="G74" s="11"/>
      <c r="H74" s="11">
        <v>155699.6</v>
      </c>
      <c r="I74" s="11">
        <f t="shared" si="6"/>
        <v>0.72</v>
      </c>
      <c r="J74" s="11">
        <v>154747.6</v>
      </c>
      <c r="K74" s="11">
        <f t="shared" si="7"/>
        <v>0.1</v>
      </c>
      <c r="L74" s="12">
        <v>154593</v>
      </c>
    </row>
    <row r="75" spans="1:12" x14ac:dyDescent="0.3">
      <c r="A75" s="10" t="s">
        <v>80</v>
      </c>
      <c r="B75">
        <v>99739</v>
      </c>
      <c r="C75" s="11">
        <f t="shared" si="4"/>
        <v>5.16</v>
      </c>
      <c r="D75" s="11">
        <v>99575.6</v>
      </c>
      <c r="E75" s="11">
        <f t="shared" si="5"/>
        <v>4.99</v>
      </c>
      <c r="F75" s="11"/>
      <c r="G75" s="11"/>
      <c r="H75" s="11">
        <v>95864.7</v>
      </c>
      <c r="I75" s="11">
        <f t="shared" si="6"/>
        <v>1.07</v>
      </c>
      <c r="J75" s="11">
        <v>95091.9</v>
      </c>
      <c r="K75" s="11">
        <f t="shared" si="7"/>
        <v>0.26</v>
      </c>
      <c r="L75" s="12">
        <v>94846</v>
      </c>
    </row>
    <row r="76" spans="1:12" x14ac:dyDescent="0.3">
      <c r="A76" s="10" t="s">
        <v>81</v>
      </c>
      <c r="B76">
        <v>89659</v>
      </c>
      <c r="C76" s="11">
        <f t="shared" si="4"/>
        <v>3.41</v>
      </c>
      <c r="D76" s="11">
        <v>89382.6</v>
      </c>
      <c r="E76" s="11">
        <f t="shared" si="5"/>
        <v>3.09</v>
      </c>
      <c r="F76" s="11"/>
      <c r="G76" s="11"/>
      <c r="H76" s="11">
        <v>86938.6</v>
      </c>
      <c r="I76" s="11">
        <f t="shared" si="6"/>
        <v>0.28000000000000003</v>
      </c>
      <c r="J76" s="11">
        <v>86778.4</v>
      </c>
      <c r="K76" s="11">
        <f t="shared" si="7"/>
        <v>0.09</v>
      </c>
      <c r="L76" s="12">
        <v>86700</v>
      </c>
    </row>
    <row r="77" spans="1:12" x14ac:dyDescent="0.3">
      <c r="A77" s="10" t="s">
        <v>82</v>
      </c>
      <c r="B77">
        <v>45745</v>
      </c>
      <c r="C77" s="11">
        <f t="shared" si="4"/>
        <v>7.09</v>
      </c>
      <c r="D77" s="11">
        <v>45758.6</v>
      </c>
      <c r="E77" s="11">
        <f t="shared" si="5"/>
        <v>7.12</v>
      </c>
      <c r="F77" s="11"/>
      <c r="G77" s="11"/>
      <c r="H77" s="11">
        <v>43031.7</v>
      </c>
      <c r="I77" s="11">
        <f t="shared" si="6"/>
        <v>0.74</v>
      </c>
      <c r="J77" s="11">
        <v>42742.7</v>
      </c>
      <c r="K77" s="11">
        <f t="shared" si="7"/>
        <v>0.06</v>
      </c>
      <c r="L77" s="12">
        <v>42717</v>
      </c>
    </row>
    <row r="78" spans="1:12" x14ac:dyDescent="0.3">
      <c r="A78" s="10" t="s">
        <v>83</v>
      </c>
      <c r="B78">
        <v>52495</v>
      </c>
      <c r="C78" s="11">
        <f t="shared" si="4"/>
        <v>3.6</v>
      </c>
      <c r="D78" s="11">
        <v>52436.5</v>
      </c>
      <c r="E78" s="11">
        <f t="shared" si="5"/>
        <v>3.48</v>
      </c>
      <c r="F78" s="11"/>
      <c r="G78" s="11"/>
      <c r="H78" s="11">
        <v>50957.2</v>
      </c>
      <c r="I78" s="11">
        <f t="shared" si="6"/>
        <v>0.56000000000000005</v>
      </c>
      <c r="J78" s="11">
        <v>50813</v>
      </c>
      <c r="K78" s="11">
        <f t="shared" si="7"/>
        <v>0.28000000000000003</v>
      </c>
      <c r="L78" s="12">
        <v>50673</v>
      </c>
    </row>
    <row r="79" spans="1:12" x14ac:dyDescent="0.3">
      <c r="A79" s="10" t="s">
        <v>84</v>
      </c>
      <c r="B79">
        <v>199812</v>
      </c>
      <c r="C79" s="11">
        <f t="shared" si="4"/>
        <v>4.99</v>
      </c>
      <c r="D79" s="11">
        <v>198347.2</v>
      </c>
      <c r="E79" s="11">
        <f t="shared" si="5"/>
        <v>4.22</v>
      </c>
      <c r="F79" s="11"/>
      <c r="G79" s="11"/>
      <c r="H79" s="11">
        <v>191411.4</v>
      </c>
      <c r="I79" s="11">
        <f t="shared" si="6"/>
        <v>0.57999999999999996</v>
      </c>
      <c r="J79" s="11">
        <v>190588.1</v>
      </c>
      <c r="K79" s="11">
        <f t="shared" si="7"/>
        <v>0.14000000000000001</v>
      </c>
      <c r="L79" s="12">
        <v>190316</v>
      </c>
    </row>
    <row r="80" spans="1:12" x14ac:dyDescent="0.3">
      <c r="A80" s="10" t="s">
        <v>85</v>
      </c>
      <c r="B80">
        <v>112922</v>
      </c>
      <c r="C80" s="11">
        <f t="shared" si="4"/>
        <v>4.12</v>
      </c>
      <c r="D80" s="11">
        <v>113380.7</v>
      </c>
      <c r="E80" s="11">
        <f t="shared" si="5"/>
        <v>4.55</v>
      </c>
      <c r="F80" s="11"/>
      <c r="G80" s="11"/>
      <c r="H80" s="11">
        <v>109356.1</v>
      </c>
      <c r="I80" s="11">
        <f t="shared" si="6"/>
        <v>0.83</v>
      </c>
      <c r="J80" s="11">
        <v>108656</v>
      </c>
      <c r="K80" s="11">
        <f t="shared" si="7"/>
        <v>0.19</v>
      </c>
      <c r="L80" s="12">
        <v>108451</v>
      </c>
    </row>
    <row r="81" spans="1:12" x14ac:dyDescent="0.3">
      <c r="A81" s="10" t="s">
        <v>86</v>
      </c>
      <c r="B81">
        <v>62399</v>
      </c>
      <c r="C81" s="11">
        <f t="shared" si="4"/>
        <v>4.8099999999999996</v>
      </c>
      <c r="D81" s="11">
        <v>64073.599999999999</v>
      </c>
      <c r="E81" s="11">
        <f t="shared" si="5"/>
        <v>7.62</v>
      </c>
      <c r="F81" s="11"/>
      <c r="G81" s="11"/>
      <c r="H81" s="11">
        <v>60201.2</v>
      </c>
      <c r="I81" s="11">
        <f t="shared" si="6"/>
        <v>1.1200000000000001</v>
      </c>
      <c r="J81" s="11">
        <v>59696.3</v>
      </c>
      <c r="K81" s="11">
        <f t="shared" si="7"/>
        <v>0.27</v>
      </c>
      <c r="L81" s="12">
        <v>59535</v>
      </c>
    </row>
    <row r="82" spans="1:12" x14ac:dyDescent="0.3">
      <c r="A82" s="10" t="s">
        <v>87</v>
      </c>
      <c r="B82">
        <v>65174</v>
      </c>
      <c r="C82" s="11">
        <f t="shared" si="4"/>
        <v>4.84</v>
      </c>
      <c r="D82" s="11">
        <v>64897.9</v>
      </c>
      <c r="E82" s="11">
        <f t="shared" si="5"/>
        <v>4.4000000000000004</v>
      </c>
      <c r="F82" s="11"/>
      <c r="G82" s="11"/>
      <c r="H82" s="11">
        <v>62568.1</v>
      </c>
      <c r="I82" s="11">
        <f t="shared" si="6"/>
        <v>0.65</v>
      </c>
      <c r="J82" s="11">
        <v>62371.6</v>
      </c>
      <c r="K82" s="11">
        <f t="shared" si="7"/>
        <v>0.33</v>
      </c>
      <c r="L82" s="12">
        <v>62164</v>
      </c>
    </row>
    <row r="83" spans="1:12" x14ac:dyDescent="0.3">
      <c r="A83" s="10" t="s">
        <v>88</v>
      </c>
      <c r="B83">
        <v>68211</v>
      </c>
      <c r="C83" s="11">
        <f t="shared" si="4"/>
        <v>7.11</v>
      </c>
      <c r="D83" s="11">
        <v>66862.3</v>
      </c>
      <c r="E83" s="11">
        <f t="shared" si="5"/>
        <v>4.99</v>
      </c>
      <c r="F83" s="11"/>
      <c r="G83" s="11"/>
      <c r="H83" s="11">
        <v>64094.3</v>
      </c>
      <c r="I83" s="11">
        <f t="shared" si="6"/>
        <v>0.65</v>
      </c>
      <c r="J83" s="11">
        <v>63874.2</v>
      </c>
      <c r="K83" s="11">
        <f t="shared" si="7"/>
        <v>0.3</v>
      </c>
      <c r="L83" s="12">
        <v>63682</v>
      </c>
    </row>
    <row r="84" spans="1:12" x14ac:dyDescent="0.3">
      <c r="A84" s="10" t="s">
        <v>89</v>
      </c>
      <c r="B84">
        <v>108223</v>
      </c>
      <c r="C84" s="11">
        <f t="shared" si="4"/>
        <v>1.35</v>
      </c>
      <c r="D84" s="11">
        <v>107815.9</v>
      </c>
      <c r="E84" s="11">
        <f t="shared" si="5"/>
        <v>0.97</v>
      </c>
      <c r="F84" s="11"/>
      <c r="G84" s="11"/>
      <c r="H84" s="11">
        <v>106956.8</v>
      </c>
      <c r="I84" s="11">
        <f t="shared" si="6"/>
        <v>0.17</v>
      </c>
      <c r="J84" s="11">
        <v>106808.8</v>
      </c>
      <c r="K84" s="11">
        <f t="shared" si="7"/>
        <v>0.03</v>
      </c>
      <c r="L84" s="12">
        <v>106780</v>
      </c>
    </row>
    <row r="85" spans="1:12" x14ac:dyDescent="0.3">
      <c r="A85" s="10" t="s">
        <v>90</v>
      </c>
      <c r="B85">
        <v>158337</v>
      </c>
      <c r="C85" s="11">
        <f t="shared" si="4"/>
        <v>8.1999999999999993</v>
      </c>
      <c r="D85" s="11">
        <v>151874.1</v>
      </c>
      <c r="E85" s="11">
        <f t="shared" si="5"/>
        <v>3.79</v>
      </c>
      <c r="F85" s="11"/>
      <c r="G85" s="11"/>
      <c r="H85" s="11">
        <v>147654.20000000001</v>
      </c>
      <c r="I85" s="11">
        <f t="shared" si="6"/>
        <v>0.9</v>
      </c>
      <c r="J85" s="11">
        <v>146777.70000000001</v>
      </c>
      <c r="K85" s="11">
        <f t="shared" si="7"/>
        <v>0.3</v>
      </c>
      <c r="L85" s="12">
        <v>146332</v>
      </c>
    </row>
    <row r="86" spans="1:12" x14ac:dyDescent="0.3">
      <c r="A86" s="10" t="s">
        <v>91</v>
      </c>
      <c r="B86">
        <v>71503</v>
      </c>
      <c r="C86" s="11">
        <f t="shared" si="4"/>
        <v>4.84</v>
      </c>
      <c r="D86" s="11">
        <v>74085.5</v>
      </c>
      <c r="E86" s="11">
        <f t="shared" si="5"/>
        <v>8.6199999999999992</v>
      </c>
      <c r="F86" s="11"/>
      <c r="G86" s="11"/>
      <c r="H86" s="11">
        <v>68854.7</v>
      </c>
      <c r="I86" s="11">
        <f t="shared" si="6"/>
        <v>0.95</v>
      </c>
      <c r="J86" s="11">
        <v>68343.100000000006</v>
      </c>
      <c r="K86" s="11">
        <f t="shared" si="7"/>
        <v>0.2</v>
      </c>
      <c r="L86" s="12">
        <v>68205</v>
      </c>
    </row>
    <row r="87" spans="1:12" x14ac:dyDescent="0.3">
      <c r="A87" s="10" t="s">
        <v>92</v>
      </c>
      <c r="B87">
        <v>85482</v>
      </c>
      <c r="C87" s="11">
        <f t="shared" si="4"/>
        <v>4.34</v>
      </c>
      <c r="D87" s="11">
        <v>87060.3</v>
      </c>
      <c r="E87" s="11">
        <f t="shared" si="5"/>
        <v>6.27</v>
      </c>
      <c r="F87" s="11"/>
      <c r="G87" s="11"/>
      <c r="H87" s="11">
        <v>82513.5</v>
      </c>
      <c r="I87" s="11">
        <f t="shared" si="6"/>
        <v>0.72</v>
      </c>
      <c r="J87" s="11">
        <v>82237.3</v>
      </c>
      <c r="K87" s="11">
        <f t="shared" si="7"/>
        <v>0.38</v>
      </c>
      <c r="L87" s="12">
        <v>81923</v>
      </c>
    </row>
    <row r="88" spans="1:12" x14ac:dyDescent="0.3">
      <c r="A88" s="10" t="s">
        <v>93</v>
      </c>
      <c r="B88">
        <v>45645</v>
      </c>
      <c r="C88" s="11">
        <f t="shared" si="4"/>
        <v>5.24</v>
      </c>
      <c r="D88" s="11">
        <v>46012.9</v>
      </c>
      <c r="E88" s="11">
        <f t="shared" si="5"/>
        <v>6.09</v>
      </c>
      <c r="F88" s="11"/>
      <c r="G88" s="11"/>
      <c r="H88" s="11">
        <v>43730.400000000001</v>
      </c>
      <c r="I88" s="11">
        <f t="shared" si="6"/>
        <v>0.82</v>
      </c>
      <c r="J88" s="11">
        <v>43505.8</v>
      </c>
      <c r="K88" s="11">
        <f t="shared" si="7"/>
        <v>0.31</v>
      </c>
      <c r="L88" s="12">
        <v>43373</v>
      </c>
    </row>
    <row r="89" spans="1:12" x14ac:dyDescent="0.3">
      <c r="A89" s="10" t="s">
        <v>94</v>
      </c>
      <c r="B89">
        <v>140080</v>
      </c>
      <c r="C89" s="11">
        <f t="shared" si="4"/>
        <v>2.86</v>
      </c>
      <c r="D89" s="11">
        <v>143829.1</v>
      </c>
      <c r="E89" s="11">
        <f t="shared" si="5"/>
        <v>5.61</v>
      </c>
      <c r="F89" s="11"/>
      <c r="G89" s="11"/>
      <c r="H89" s="11">
        <v>137299.29999999999</v>
      </c>
      <c r="I89" s="11">
        <f t="shared" si="6"/>
        <v>0.82</v>
      </c>
      <c r="J89" s="11">
        <v>136426.9</v>
      </c>
      <c r="K89" s="11">
        <f t="shared" si="7"/>
        <v>0.18</v>
      </c>
      <c r="L89" s="12">
        <v>136187</v>
      </c>
    </row>
    <row r="90" spans="1:12" x14ac:dyDescent="0.3">
      <c r="A90" s="10" t="s">
        <v>95</v>
      </c>
      <c r="B90">
        <v>79166</v>
      </c>
      <c r="C90" s="11">
        <f t="shared" si="4"/>
        <v>2.46</v>
      </c>
      <c r="D90" s="11">
        <v>82813.399999999994</v>
      </c>
      <c r="E90" s="11">
        <f t="shared" si="5"/>
        <v>7.18</v>
      </c>
      <c r="F90" s="11"/>
      <c r="G90" s="11"/>
      <c r="H90" s="11">
        <v>78211.899999999994</v>
      </c>
      <c r="I90" s="11">
        <f t="shared" si="6"/>
        <v>1.22</v>
      </c>
      <c r="J90" s="11">
        <v>77655.399999999994</v>
      </c>
      <c r="K90" s="11">
        <f t="shared" si="7"/>
        <v>0.5</v>
      </c>
      <c r="L90" s="12">
        <v>77269</v>
      </c>
    </row>
    <row r="91" spans="1:12" x14ac:dyDescent="0.3">
      <c r="A91" s="10" t="s">
        <v>96</v>
      </c>
      <c r="B91">
        <v>119827</v>
      </c>
      <c r="C91" s="11">
        <f t="shared" si="4"/>
        <v>4.7300000000000004</v>
      </c>
      <c r="D91" s="11">
        <v>123106.2</v>
      </c>
      <c r="E91" s="11">
        <f t="shared" si="5"/>
        <v>7.59</v>
      </c>
      <c r="F91" s="11"/>
      <c r="G91" s="11"/>
      <c r="H91" s="11">
        <v>115186</v>
      </c>
      <c r="I91" s="11">
        <f t="shared" si="6"/>
        <v>0.67</v>
      </c>
      <c r="J91" s="11">
        <v>114764.5</v>
      </c>
      <c r="K91" s="11">
        <f t="shared" si="7"/>
        <v>0.3</v>
      </c>
      <c r="L91" s="12">
        <v>114417</v>
      </c>
    </row>
    <row r="92" spans="1:12" x14ac:dyDescent="0.3">
      <c r="A92" s="10" t="s">
        <v>97</v>
      </c>
      <c r="B92">
        <v>76982</v>
      </c>
      <c r="C92" s="11">
        <f t="shared" si="4"/>
        <v>6.35</v>
      </c>
      <c r="D92" s="11">
        <v>77518.899999999994</v>
      </c>
      <c r="E92" s="11">
        <f t="shared" si="5"/>
        <v>7.09</v>
      </c>
      <c r="F92" s="11"/>
      <c r="G92" s="11"/>
      <c r="H92" s="11">
        <v>73043.8</v>
      </c>
      <c r="I92" s="11">
        <f t="shared" si="6"/>
        <v>0.91</v>
      </c>
      <c r="J92" s="11">
        <v>72790.7</v>
      </c>
      <c r="K92" s="11">
        <f t="shared" si="7"/>
        <v>0.56000000000000005</v>
      </c>
      <c r="L92" s="12">
        <v>72386</v>
      </c>
    </row>
    <row r="93" spans="1:12" x14ac:dyDescent="0.3">
      <c r="A93" s="10" t="s">
        <v>98</v>
      </c>
      <c r="B93">
        <v>77277</v>
      </c>
      <c r="C93" s="11">
        <f t="shared" si="4"/>
        <v>5.42</v>
      </c>
      <c r="D93" s="11">
        <v>76428.2</v>
      </c>
      <c r="E93" s="11">
        <f t="shared" si="5"/>
        <v>4.26</v>
      </c>
      <c r="F93" s="11"/>
      <c r="G93" s="11"/>
      <c r="H93" s="11">
        <v>73590.5</v>
      </c>
      <c r="I93" s="11">
        <f t="shared" si="6"/>
        <v>0.39</v>
      </c>
      <c r="J93" s="11">
        <v>73500.399999999994</v>
      </c>
      <c r="K93" s="11">
        <f t="shared" si="7"/>
        <v>0.27</v>
      </c>
      <c r="L93" s="12">
        <v>73305</v>
      </c>
    </row>
    <row r="94" spans="1:12" x14ac:dyDescent="0.3">
      <c r="A94" s="10" t="s">
        <v>99</v>
      </c>
      <c r="B94">
        <v>165874</v>
      </c>
      <c r="C94" s="11">
        <f t="shared" si="4"/>
        <v>4.9000000000000004</v>
      </c>
      <c r="D94" s="11">
        <v>165074</v>
      </c>
      <c r="E94" s="11">
        <f t="shared" si="5"/>
        <v>4.4000000000000004</v>
      </c>
      <c r="F94" s="11"/>
      <c r="G94" s="11"/>
      <c r="H94" s="11">
        <v>159572.5</v>
      </c>
      <c r="I94" s="11">
        <f t="shared" si="6"/>
        <v>0.92</v>
      </c>
      <c r="J94" s="11">
        <v>158511.6</v>
      </c>
      <c r="K94" s="11">
        <f t="shared" si="7"/>
        <v>0.25</v>
      </c>
      <c r="L94" s="12">
        <v>158121</v>
      </c>
    </row>
    <row r="95" spans="1:12" x14ac:dyDescent="0.3">
      <c r="A95" s="10" t="s">
        <v>100</v>
      </c>
      <c r="B95">
        <v>201040</v>
      </c>
      <c r="C95" s="11">
        <f t="shared" si="4"/>
        <v>3.77</v>
      </c>
      <c r="D95" s="11">
        <v>201836.79999999999</v>
      </c>
      <c r="E95" s="11">
        <f t="shared" si="5"/>
        <v>4.18</v>
      </c>
      <c r="F95" s="11"/>
      <c r="G95" s="11"/>
      <c r="H95" s="11">
        <v>195135</v>
      </c>
      <c r="I95" s="11">
        <f t="shared" si="6"/>
        <v>0.72</v>
      </c>
      <c r="J95" s="11">
        <v>194231.3</v>
      </c>
      <c r="K95" s="11">
        <f t="shared" si="7"/>
        <v>0.26</v>
      </c>
      <c r="L95" s="12">
        <v>193737</v>
      </c>
    </row>
    <row r="96" spans="1:12" x14ac:dyDescent="0.3">
      <c r="A96" s="10" t="s">
        <v>101</v>
      </c>
      <c r="B96">
        <v>92470</v>
      </c>
      <c r="C96" s="11">
        <f t="shared" si="4"/>
        <v>3.94</v>
      </c>
      <c r="D96" s="11">
        <v>91613.9</v>
      </c>
      <c r="E96" s="11">
        <f t="shared" si="5"/>
        <v>2.98</v>
      </c>
      <c r="F96" s="11"/>
      <c r="G96" s="11"/>
      <c r="H96" s="11">
        <v>89333.5</v>
      </c>
      <c r="I96" s="11">
        <f t="shared" si="6"/>
        <v>0.41</v>
      </c>
      <c r="J96" s="11">
        <v>89037.5</v>
      </c>
      <c r="K96" s="11">
        <f t="shared" si="7"/>
        <v>0.08</v>
      </c>
      <c r="L96" s="12">
        <v>88965</v>
      </c>
    </row>
    <row r="97" spans="1:12" x14ac:dyDescent="0.3">
      <c r="A97" s="10" t="s">
        <v>102</v>
      </c>
      <c r="B97">
        <v>102101</v>
      </c>
      <c r="C97" s="11">
        <f t="shared" si="4"/>
        <v>2.82</v>
      </c>
      <c r="D97" s="11">
        <v>103576.1</v>
      </c>
      <c r="E97" s="11">
        <f t="shared" si="5"/>
        <v>4.3099999999999996</v>
      </c>
      <c r="F97" s="11"/>
      <c r="G97" s="11"/>
      <c r="H97" s="11">
        <v>100115.7</v>
      </c>
      <c r="I97" s="11">
        <f t="shared" si="6"/>
        <v>0.82</v>
      </c>
      <c r="J97" s="11">
        <v>99682.7</v>
      </c>
      <c r="K97" s="11">
        <f t="shared" si="7"/>
        <v>0.39</v>
      </c>
      <c r="L97" s="12">
        <v>99299</v>
      </c>
    </row>
    <row r="98" spans="1:12" x14ac:dyDescent="0.3">
      <c r="A98" s="10" t="s">
        <v>103</v>
      </c>
      <c r="B98">
        <v>58834</v>
      </c>
      <c r="C98" s="11">
        <f t="shared" si="4"/>
        <v>9.24</v>
      </c>
      <c r="D98" s="11">
        <v>58191.7</v>
      </c>
      <c r="E98" s="11">
        <f t="shared" si="5"/>
        <v>8.0399999999999991</v>
      </c>
      <c r="F98" s="11"/>
      <c r="G98" s="11"/>
      <c r="H98" s="11">
        <v>54306</v>
      </c>
      <c r="I98" s="11">
        <f t="shared" si="6"/>
        <v>0.83</v>
      </c>
      <c r="J98" s="11">
        <v>54070.6</v>
      </c>
      <c r="K98" s="11">
        <f t="shared" si="7"/>
        <v>0.39</v>
      </c>
      <c r="L98" s="12">
        <v>53860</v>
      </c>
    </row>
    <row r="99" spans="1:12" x14ac:dyDescent="0.3">
      <c r="A99" s="10" t="s">
        <v>104</v>
      </c>
      <c r="B99">
        <v>344359</v>
      </c>
      <c r="C99" s="11">
        <f t="shared" si="4"/>
        <v>4.6100000000000003</v>
      </c>
      <c r="D99" s="11">
        <v>342127.2</v>
      </c>
      <c r="E99" s="11">
        <f t="shared" si="5"/>
        <v>3.93</v>
      </c>
      <c r="F99" s="11"/>
      <c r="G99" s="11"/>
      <c r="H99" s="11">
        <v>331111</v>
      </c>
      <c r="I99" s="11">
        <f t="shared" si="6"/>
        <v>0.59</v>
      </c>
      <c r="J99" s="11">
        <v>329852</v>
      </c>
      <c r="K99" s="11">
        <f t="shared" si="7"/>
        <v>0.2</v>
      </c>
      <c r="L99" s="12">
        <v>329179</v>
      </c>
    </row>
    <row r="100" spans="1:12" x14ac:dyDescent="0.3">
      <c r="A100" s="10" t="s">
        <v>105</v>
      </c>
      <c r="B100">
        <v>144950</v>
      </c>
      <c r="C100" s="11">
        <f t="shared" si="4"/>
        <v>9.2200000000000006</v>
      </c>
      <c r="D100" s="11">
        <v>140479.29999999999</v>
      </c>
      <c r="E100" s="11">
        <f t="shared" si="5"/>
        <v>5.85</v>
      </c>
      <c r="F100" s="11"/>
      <c r="G100" s="11"/>
      <c r="H100" s="11">
        <v>133831.4</v>
      </c>
      <c r="I100" s="11">
        <f t="shared" si="6"/>
        <v>0.84</v>
      </c>
      <c r="J100" s="11">
        <v>133369.9</v>
      </c>
      <c r="K100" s="11">
        <f t="shared" si="7"/>
        <v>0.49</v>
      </c>
      <c r="L100" s="12">
        <v>132715</v>
      </c>
    </row>
    <row r="101" spans="1:12" x14ac:dyDescent="0.3">
      <c r="A101" s="10" t="s">
        <v>106</v>
      </c>
      <c r="B101">
        <v>89291</v>
      </c>
      <c r="C101" s="11">
        <f t="shared" si="4"/>
        <v>4.4800000000000004</v>
      </c>
      <c r="D101" s="11">
        <v>88603</v>
      </c>
      <c r="E101" s="11">
        <f t="shared" si="5"/>
        <v>3.67</v>
      </c>
      <c r="F101" s="11"/>
      <c r="G101" s="11"/>
      <c r="H101" s="11">
        <v>85746.6</v>
      </c>
      <c r="I101" s="11">
        <f t="shared" si="6"/>
        <v>0.33</v>
      </c>
      <c r="J101" s="11">
        <v>85550.1</v>
      </c>
      <c r="K101" s="11">
        <f t="shared" si="7"/>
        <v>0.1</v>
      </c>
      <c r="L101" s="12">
        <v>85465</v>
      </c>
    </row>
    <row r="102" spans="1:12" x14ac:dyDescent="0.3">
      <c r="A102" s="13" t="s">
        <v>107</v>
      </c>
      <c r="B102" s="16">
        <v>123775</v>
      </c>
      <c r="C102" s="5">
        <f t="shared" si="4"/>
        <v>4.03</v>
      </c>
      <c r="D102" s="5">
        <v>123885.2</v>
      </c>
      <c r="E102" s="5">
        <f t="shared" si="5"/>
        <v>4.13</v>
      </c>
      <c r="F102" s="5"/>
      <c r="G102" s="5"/>
      <c r="H102" s="5">
        <v>119600.1</v>
      </c>
      <c r="I102" s="5">
        <f t="shared" si="6"/>
        <v>0.52</v>
      </c>
      <c r="J102" s="5">
        <v>119247.5</v>
      </c>
      <c r="K102" s="5">
        <f t="shared" si="7"/>
        <v>0.23</v>
      </c>
      <c r="L102" s="14">
        <v>118976</v>
      </c>
    </row>
  </sheetData>
  <sortState xmlns:xlrd2="http://schemas.microsoft.com/office/spreadsheetml/2017/richdata2" ref="A3:L102">
    <sortCondition ref="A1:A102"/>
  </sortState>
  <mergeCells count="7">
    <mergeCell ref="L1:L2"/>
    <mergeCell ref="A1:A2"/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Полина *</dc:creator>
  <cp:lastModifiedBy>Полина *</cp:lastModifiedBy>
  <dcterms:created xsi:type="dcterms:W3CDTF">2026-09-10T08:01:32Z</dcterms:created>
  <dcterms:modified xsi:type="dcterms:W3CDTF">2026-09-10T08:27:54Z</dcterms:modified>
</cp:coreProperties>
</file>