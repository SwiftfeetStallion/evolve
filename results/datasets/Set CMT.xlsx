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phaEvolve\evolve\results\all\"/>
    </mc:Choice>
  </mc:AlternateContent>
  <xr:revisionPtr revIDLastSave="0" documentId="13_ncr:1_{CC5FE387-4753-444F-8152-57B806E97777}" xr6:coauthVersionLast="47" xr6:coauthVersionMax="47" xr10:uidLastSave="{00000000-0000-0000-0000-000000000000}"/>
  <bookViews>
    <workbookView xWindow="-108" yWindow="-108" windowWidth="23256" windowHeight="12576" xr2:uid="{66647EEB-8EFC-4308-8850-32522B92C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1" l="1"/>
  <c r="G16" i="1"/>
  <c r="E5" i="1"/>
  <c r="E6" i="1"/>
  <c r="E9" i="1"/>
  <c r="E10" i="1"/>
  <c r="E11" i="1"/>
  <c r="E12" i="1"/>
  <c r="C5" i="1"/>
  <c r="C6" i="1"/>
  <c r="C9" i="1"/>
  <c r="C10" i="1"/>
  <c r="C11" i="1"/>
  <c r="C12" i="1"/>
  <c r="G14" i="1"/>
  <c r="G13" i="1"/>
  <c r="G12" i="1"/>
  <c r="G11" i="1"/>
  <c r="G10" i="1"/>
  <c r="G9" i="1"/>
  <c r="G8" i="1"/>
  <c r="G7" i="1"/>
  <c r="G6" i="1"/>
  <c r="G5" i="1"/>
  <c r="G4" i="1"/>
  <c r="G3" i="1"/>
  <c r="E3" i="1"/>
  <c r="C3" i="1"/>
</calcChain>
</file>

<file path=xl/sharedStrings.xml><?xml version="1.0" encoding="utf-8"?>
<sst xmlns="http://schemas.openxmlformats.org/spreadsheetml/2006/main" count="53" uniqueCount="22">
  <si>
    <t>Instance</t>
  </si>
  <si>
    <t>CW</t>
  </si>
  <si>
    <t>AILS-II</t>
  </si>
  <si>
    <t>HGS</t>
  </si>
  <si>
    <t>BKS</t>
  </si>
  <si>
    <t>Avg</t>
  </si>
  <si>
    <t>Gap</t>
  </si>
  <si>
    <t>CMT1</t>
  </si>
  <si>
    <t>CMT10</t>
  </si>
  <si>
    <t>CMT11</t>
  </si>
  <si>
    <t>CMT12</t>
  </si>
  <si>
    <t>CMT13</t>
  </si>
  <si>
    <t>CMT14</t>
  </si>
  <si>
    <t>CMT2</t>
  </si>
  <si>
    <t>CMT3</t>
  </si>
  <si>
    <t>CMT4</t>
  </si>
  <si>
    <t>CMT5</t>
  </si>
  <si>
    <t>CMT6</t>
  </si>
  <si>
    <t>CMT7</t>
  </si>
  <si>
    <t>CMT8</t>
  </si>
  <si>
    <t>CMT9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</si>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</sst>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C616-0CAB-4396-A3A2-C13A9FDA77A3}">
  <dimension ref="A1:H16"/>
  <sheetViews>
    <sheetView tabSelected="1" workbookViewId="0">
      <selection activeCell="L10" sqref="L10"/>
    </sheetView>
  </sheetViews>
  <sheetFormatPr defaultRowHeight="14.4" x14ac:dyDescent="0.3"/>
  <sheetData>
    <row r="1" spans="1:8" x14ac:dyDescent="0.3">
      <c r="A1" s="8" t="s">
        <v>0</v>
      </c>
      <c r="B1" s="10" t="s">
        <v>1</v>
      </c>
      <c r="C1" s="10"/>
      <c r="D1" s="10" t="s">
        <v>2</v>
      </c>
      <c r="E1" s="10"/>
      <c r="F1" s="10" t="s">
        <v>3</v>
      </c>
      <c r="G1" s="10"/>
      <c r="H1" s="11" t="s">
        <v>4</v>
      </c>
    </row>
    <row r="2" spans="1:8" x14ac:dyDescent="0.3">
      <c r="A2" s="9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12"/>
    </row>
    <row r="3" spans="1:8" x14ac:dyDescent="0.3">
      <c r="A3" s="4" t="s">
        <v>7</v>
      </c>
      <c r="B3" s="13">
        <v>584.64</v>
      </c>
      <c r="C3" s="6">
        <f>ROUND(MAX(0, (B3-H3)/H3*100), 2)</f>
        <v>11.44</v>
      </c>
      <c r="D3" s="6">
        <v>524.61</v>
      </c>
      <c r="E3" s="6">
        <f>ROUND(MAX(0, (D3-H3)/H3*100), 2)</f>
        <v>0</v>
      </c>
      <c r="F3" s="6">
        <v>524.61</v>
      </c>
      <c r="G3" s="6">
        <f t="shared" ref="G3:G14" si="0">ROUND(MAX(0, (F3-H3)/H3*100), 2)</f>
        <v>0</v>
      </c>
      <c r="H3" s="5">
        <v>524.61099999999999</v>
      </c>
    </row>
    <row r="4" spans="1:8" x14ac:dyDescent="0.3">
      <c r="A4" s="4" t="s">
        <v>8</v>
      </c>
      <c r="B4" s="6" t="s">
        <v>21</v>
      </c>
      <c r="C4" s="6" t="s">
        <v>21</v>
      </c>
      <c r="D4" s="6" t="s">
        <v>21</v>
      </c>
      <c r="E4" s="6" t="s">
        <v>21</v>
      </c>
      <c r="F4" s="6">
        <v>1395.85</v>
      </c>
      <c r="G4" s="6">
        <f t="shared" si="0"/>
        <v>0</v>
      </c>
      <c r="H4" s="5">
        <v>1395.85</v>
      </c>
    </row>
    <row r="5" spans="1:8" x14ac:dyDescent="0.3">
      <c r="A5" s="4" t="s">
        <v>9</v>
      </c>
      <c r="B5" s="6">
        <v>1068.1400000000001</v>
      </c>
      <c r="C5" s="6">
        <f t="shared" ref="C4:C16" si="1">ROUND(MAX(0, (B5-H5)/H5*100), 2)</f>
        <v>2.5</v>
      </c>
      <c r="D5" s="6">
        <v>1042.1199999999999</v>
      </c>
      <c r="E5" s="6">
        <f t="shared" ref="E4:E16" si="2">ROUND(MAX(0, (D5-H5)/H5*100), 2)</f>
        <v>0</v>
      </c>
      <c r="F5" s="6">
        <v>1042.1199999999999</v>
      </c>
      <c r="G5" s="6">
        <f t="shared" si="0"/>
        <v>0</v>
      </c>
      <c r="H5" s="5">
        <v>1042.1199999999999</v>
      </c>
    </row>
    <row r="6" spans="1:8" x14ac:dyDescent="0.3">
      <c r="A6" s="4" t="s">
        <v>10</v>
      </c>
      <c r="B6" s="6">
        <v>833.51</v>
      </c>
      <c r="C6" s="6">
        <f t="shared" si="1"/>
        <v>1.7</v>
      </c>
      <c r="D6" s="6">
        <v>819.56</v>
      </c>
      <c r="E6" s="6">
        <f t="shared" si="2"/>
        <v>0</v>
      </c>
      <c r="F6" s="6">
        <v>819.56</v>
      </c>
      <c r="G6" s="6">
        <f t="shared" si="0"/>
        <v>0</v>
      </c>
      <c r="H6" s="5">
        <v>819.55799999999999</v>
      </c>
    </row>
    <row r="7" spans="1:8" x14ac:dyDescent="0.3">
      <c r="A7" s="4" t="s">
        <v>11</v>
      </c>
      <c r="B7" s="6" t="s">
        <v>21</v>
      </c>
      <c r="C7" s="6" t="s">
        <v>21</v>
      </c>
      <c r="D7" s="6" t="s">
        <v>21</v>
      </c>
      <c r="E7" s="6" t="s">
        <v>21</v>
      </c>
      <c r="F7" s="6">
        <v>1541.14</v>
      </c>
      <c r="G7" s="6">
        <f t="shared" si="0"/>
        <v>0</v>
      </c>
      <c r="H7" s="5">
        <v>1541.14</v>
      </c>
    </row>
    <row r="8" spans="1:8" x14ac:dyDescent="0.3">
      <c r="A8" s="4" t="s">
        <v>12</v>
      </c>
      <c r="B8" s="6" t="s">
        <v>21</v>
      </c>
      <c r="C8" s="6" t="s">
        <v>21</v>
      </c>
      <c r="D8" s="6" t="s">
        <v>21</v>
      </c>
      <c r="E8" s="6" t="s">
        <v>21</v>
      </c>
      <c r="F8" s="6">
        <v>866.37</v>
      </c>
      <c r="G8" s="6">
        <f t="shared" si="0"/>
        <v>0</v>
      </c>
      <c r="H8" s="5">
        <v>866.36500000000001</v>
      </c>
    </row>
    <row r="9" spans="1:8" x14ac:dyDescent="0.3">
      <c r="A9" s="4" t="s">
        <v>13</v>
      </c>
      <c r="B9" s="6">
        <v>900.26</v>
      </c>
      <c r="C9" s="6">
        <f t="shared" si="1"/>
        <v>7.78</v>
      </c>
      <c r="D9" s="6">
        <v>835.26</v>
      </c>
      <c r="E9" s="6">
        <f t="shared" si="2"/>
        <v>0</v>
      </c>
      <c r="F9" s="6">
        <v>835.26</v>
      </c>
      <c r="G9" s="6">
        <f t="shared" si="0"/>
        <v>0</v>
      </c>
      <c r="H9" s="5">
        <v>835.26199999999994</v>
      </c>
    </row>
    <row r="10" spans="1:8" x14ac:dyDescent="0.3">
      <c r="A10" s="4" t="s">
        <v>14</v>
      </c>
      <c r="B10" s="6">
        <v>886.83</v>
      </c>
      <c r="C10" s="6">
        <f t="shared" si="1"/>
        <v>7.35</v>
      </c>
      <c r="D10" s="6">
        <v>826.14</v>
      </c>
      <c r="E10" s="6">
        <f t="shared" si="2"/>
        <v>0</v>
      </c>
      <c r="F10" s="6">
        <v>826.14</v>
      </c>
      <c r="G10" s="6">
        <f t="shared" si="0"/>
        <v>0</v>
      </c>
      <c r="H10" s="5">
        <v>826.13699999999994</v>
      </c>
    </row>
    <row r="11" spans="1:8" x14ac:dyDescent="0.3">
      <c r="A11" s="4" t="s">
        <v>15</v>
      </c>
      <c r="B11" s="6">
        <v>1133.43</v>
      </c>
      <c r="C11" s="6">
        <f t="shared" si="1"/>
        <v>10.210000000000001</v>
      </c>
      <c r="D11" s="6">
        <v>1030.03</v>
      </c>
      <c r="E11" s="6">
        <f t="shared" si="2"/>
        <v>0.16</v>
      </c>
      <c r="F11" s="6">
        <v>1028.42</v>
      </c>
      <c r="G11" s="6">
        <f t="shared" si="0"/>
        <v>0</v>
      </c>
      <c r="H11" s="5">
        <v>1028.42</v>
      </c>
    </row>
    <row r="12" spans="1:8" x14ac:dyDescent="0.3">
      <c r="A12" s="4" t="s">
        <v>16</v>
      </c>
      <c r="B12" s="13">
        <v>1395.74</v>
      </c>
      <c r="C12" s="6">
        <f t="shared" si="1"/>
        <v>8.09</v>
      </c>
      <c r="D12" s="7">
        <v>1291.5</v>
      </c>
      <c r="E12" s="6">
        <f t="shared" si="2"/>
        <v>0.02</v>
      </c>
      <c r="F12" s="6">
        <v>1292.72</v>
      </c>
      <c r="G12" s="6">
        <f t="shared" si="0"/>
        <v>0.11</v>
      </c>
      <c r="H12" s="5">
        <v>1291.2891440000001</v>
      </c>
    </row>
    <row r="13" spans="1:8" x14ac:dyDescent="0.3">
      <c r="A13" s="4" t="s">
        <v>17</v>
      </c>
      <c r="B13" s="6" t="s">
        <v>21</v>
      </c>
      <c r="C13" s="6" t="s">
        <v>21</v>
      </c>
      <c r="D13" s="6" t="s">
        <v>21</v>
      </c>
      <c r="E13" s="6" t="s">
        <v>21</v>
      </c>
      <c r="F13" s="6">
        <v>555.42999999999995</v>
      </c>
      <c r="G13" s="6">
        <f t="shared" si="0"/>
        <v>0</v>
      </c>
      <c r="H13" s="5">
        <v>555.42999999999995</v>
      </c>
    </row>
    <row r="14" spans="1:8" x14ac:dyDescent="0.3">
      <c r="A14" s="4" t="s">
        <v>18</v>
      </c>
      <c r="B14" s="6" t="s">
        <v>21</v>
      </c>
      <c r="C14" s="6" t="s">
        <v>21</v>
      </c>
      <c r="D14" s="6" t="s">
        <v>21</v>
      </c>
      <c r="E14" s="6" t="s">
        <v>21</v>
      </c>
      <c r="F14" s="6">
        <v>909.67</v>
      </c>
      <c r="G14" s="6">
        <f t="shared" si="0"/>
        <v>0</v>
      </c>
      <c r="H14" s="5">
        <v>909.67499999999995</v>
      </c>
    </row>
    <row r="15" spans="1:8" x14ac:dyDescent="0.3">
      <c r="A15" s="4" t="s">
        <v>19</v>
      </c>
      <c r="B15" s="6" t="s">
        <v>21</v>
      </c>
      <c r="C15" s="6" t="s">
        <v>21</v>
      </c>
      <c r="D15" s="6" t="s">
        <v>21</v>
      </c>
      <c r="E15" s="6" t="s">
        <v>21</v>
      </c>
      <c r="F15" s="6">
        <v>865.95</v>
      </c>
      <c r="G15" s="6">
        <f t="shared" ref="G15:G16" si="3">ROUND(MAX(0, (F15-H15)/H15*100), 2)</f>
        <v>0</v>
      </c>
      <c r="H15" s="5">
        <v>865.94500000000005</v>
      </c>
    </row>
    <row r="16" spans="1:8" x14ac:dyDescent="0.3">
      <c r="A16" s="1" t="s">
        <v>20</v>
      </c>
      <c r="B16" s="2" t="s">
        <v>21</v>
      </c>
      <c r="C16" s="2" t="s">
        <v>21</v>
      </c>
      <c r="D16" s="2" t="s">
        <v>21</v>
      </c>
      <c r="E16" s="2" t="s">
        <v>21</v>
      </c>
      <c r="F16" s="2">
        <v>1162.68</v>
      </c>
      <c r="G16" s="2">
        <f t="shared" si="3"/>
        <v>0.01</v>
      </c>
      <c r="H16" s="3">
        <v>1162.55</v>
      </c>
    </row>
  </sheetData>
  <mergeCells count="5">
    <mergeCell ref="A1:A2"/>
    <mergeCell ref="B1:C1"/>
    <mergeCell ref="D1:E1"/>
    <mergeCell ref="F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*</dc:creator>
  <cp:lastModifiedBy>Полина *</cp:lastModifiedBy>
  <dcterms:created xsi:type="dcterms:W3CDTF">2026-09-10T07:45:58Z</dcterms:created>
  <dcterms:modified xsi:type="dcterms:W3CDTF">2026-09-27T09:55:41Z</dcterms:modified>
</cp:coreProperties>
</file>